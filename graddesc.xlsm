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0EBEE25D-5E30-3CCF-7B8A-937B5088EA05}"/>
  <workbookPr codeName="ThisWorkbook"/>
  <mc:AlternateContent xmlns:mc="http://schemas.openxmlformats.org/markup-compatibility/2006">
    <mc:Choice Requires="x15">
      <x15ac:absPath xmlns:x15ac="http://schemas.microsoft.com/office/spreadsheetml/2010/11/ac" url="C:\Users\nc17\Documents\university\teaching\S2026\7316\"/>
    </mc:Choice>
  </mc:AlternateContent>
  <xr:revisionPtr revIDLastSave="0" documentId="8_{D4EA81E5-961B-4B18-BA68-D1D6C55DC02B}" xr6:coauthVersionLast="47" xr6:coauthVersionMax="47" xr10:uidLastSave="{00000000-0000-0000-0000-000000000000}"/>
  <bookViews>
    <workbookView xWindow="-120" yWindow="-120" windowWidth="29040" windowHeight="15720" activeTab="1" xr2:uid="{00000000-000D-0000-FFFF-FFFF00000000}"/>
  </bookViews>
  <sheets>
    <sheet name="Intro" sheetId="20" r:id="rId1"/>
    <sheet name="data" sheetId="1" r:id="rId2"/>
    <sheet name="basic SGD" sheetId="3" r:id="rId3"/>
    <sheet name="momentum" sheetId="18" r:id="rId4"/>
    <sheet name="adagrad" sheetId="2" r:id="rId5"/>
    <sheet name="rmsprop" sheetId="13" r:id="rId6"/>
    <sheet name="adam" sheetId="15" r:id="rId7"/>
    <sheet name="eve" sheetId="16" r:id="rId8"/>
    <sheet name="adagrad_ann" sheetId="6" r:id="rId9"/>
    <sheet name="adam_ann" sheetId="19" r:id="rId10"/>
  </sheets>
  <definedNames>
    <definedName name="avg_grad2" localSheetId="9">adam_ann!$N$33</definedName>
    <definedName name="const" localSheetId="4">adagrad!$C$1</definedName>
    <definedName name="const" localSheetId="8">adagrad_ann!$C$1</definedName>
    <definedName name="const" localSheetId="6">adam!$C$1</definedName>
    <definedName name="const" localSheetId="9">adam_ann!$C$1</definedName>
    <definedName name="const" localSheetId="2">'basic SGD'!$C$1</definedName>
    <definedName name="const" localSheetId="7">eve!$C$1</definedName>
    <definedName name="const" localSheetId="3">momentum!$C$1</definedName>
    <definedName name="const" localSheetId="5">rmsprop!$C$1</definedName>
    <definedName name="dt_1" localSheetId="7">eve!$F$37</definedName>
    <definedName name="dtee" localSheetId="7">eve!$F$38</definedName>
    <definedName name="ft_1" localSheetId="7">eve!$F$34</definedName>
    <definedName name="ft_2" localSheetId="7">eve!$F$35</definedName>
    <definedName name="gradrat" localSheetId="9">adam_ann!$N$34</definedName>
    <definedName name="gradtarget" localSheetId="4">adagrad!$F$1:$G$1</definedName>
    <definedName name="gradtarget" localSheetId="8">adagrad_ann!$F$1:$G$1</definedName>
    <definedName name="gradtarget" localSheetId="6">adam!$L$33:$M$33</definedName>
    <definedName name="gradtarget" localSheetId="9">adam_ann!$L$33:$M$33</definedName>
    <definedName name="gradtarget" localSheetId="2">'basic SGD'!$K$1:$L$1</definedName>
    <definedName name="gradtarget" localSheetId="7">eve!$M$33:$N$33</definedName>
    <definedName name="gradtarget" localSheetId="3">momentum!#REF!</definedName>
    <definedName name="gradtarget" localSheetId="5">rmsprop!$J$33:$K$33</definedName>
    <definedName name="histgrad" localSheetId="4">adagrad!$F$33:$G$33</definedName>
    <definedName name="histgrad" localSheetId="8">adagrad_ann!$F$33:$G$33</definedName>
    <definedName name="histgrad" localSheetId="6">adam!$F$33:$G$33</definedName>
    <definedName name="histgrad" localSheetId="9">adam_ann!$F$33:$G$33</definedName>
    <definedName name="histgrad" localSheetId="2">'basic SGD'!$K$33:$L$33</definedName>
    <definedName name="histgrad" localSheetId="7">eve!$G$33:$H$33</definedName>
    <definedName name="histgrad" localSheetId="3">momentum!$F$33:$G$33</definedName>
    <definedName name="histgrad" localSheetId="5">rmsprop!$F$33:$G$33</definedName>
    <definedName name="lastconst" localSheetId="4">adagrad!$H$32</definedName>
    <definedName name="lastconst" localSheetId="8">adagrad_ann!$C$32</definedName>
    <definedName name="lastconst" localSheetId="6">adam!$C$32</definedName>
    <definedName name="lastconst" localSheetId="9">adam_ann!$C$32</definedName>
    <definedName name="lastconst" localSheetId="2">'basic SGD'!$C$32</definedName>
    <definedName name="lastconst" localSheetId="7">eve!$C$32</definedName>
    <definedName name="lastconst" localSheetId="3">momentum!$C$32</definedName>
    <definedName name="lastconst" localSheetId="5">rmsprop!$C$32</definedName>
    <definedName name="lastslope" localSheetId="4">adagrad!$I$32</definedName>
    <definedName name="lastslope" localSheetId="8">adagrad_ann!$D$32</definedName>
    <definedName name="lastslope" localSheetId="6">adam!$D$32</definedName>
    <definedName name="lastslope" localSheetId="9">adam_ann!$D$32</definedName>
    <definedName name="lastslope" localSheetId="2">'basic SGD'!$D$32</definedName>
    <definedName name="lastslope" localSheetId="7">eve!$D$32</definedName>
    <definedName name="lastslope" localSheetId="3">momentum!$D$32</definedName>
    <definedName name="lastslope" localSheetId="5">rmsprop!$D$32</definedName>
    <definedName name="loss" localSheetId="7">eve!$F$33</definedName>
    <definedName name="lr" localSheetId="6">adam!$D$2</definedName>
    <definedName name="lr" localSheetId="9">adam_ann!$D$2</definedName>
    <definedName name="lr" localSheetId="7">eve!$D$2</definedName>
    <definedName name="lr" localSheetId="3">momentum!$D$2</definedName>
    <definedName name="max_clipped" localSheetId="6">adam!$O$34</definedName>
    <definedName name="max_clipped" localSheetId="9">adam_ann!$O$34</definedName>
    <definedName name="max_clipped" localSheetId="7">eve!$P$34</definedName>
    <definedName name="max_clipped" localSheetId="3">momentum!$M$34</definedName>
    <definedName name="max_clipped" localSheetId="5">rmsprop!$K$34</definedName>
    <definedName name="momlast" localSheetId="6">adam!$J$32:$K$32</definedName>
    <definedName name="momlast" localSheetId="9">adam_ann!$J$32:$K$32</definedName>
    <definedName name="momlast" localSheetId="7">eve!$K$32:$L$32</definedName>
    <definedName name="momlast" localSheetId="3">momentum!$J$32:$K$32</definedName>
    <definedName name="momtarget" localSheetId="6">adam!$J$33:$K$33</definedName>
    <definedName name="momtarget" localSheetId="9">adam_ann!$J$33:$K$33</definedName>
    <definedName name="momtarget" localSheetId="7">eve!$K$33:$L$33</definedName>
    <definedName name="momtarget" localSheetId="3">momentum!$J$33:$K$33</definedName>
    <definedName name="ms_last" localSheetId="6">adam!$L$32:$M$32</definedName>
    <definedName name="ms_last" localSheetId="9">adam_ann!$L$32:$M$32</definedName>
    <definedName name="ms_last" localSheetId="7">eve!$M$32:$N$32</definedName>
    <definedName name="ms_last" localSheetId="3">momentum!#REF!</definedName>
    <definedName name="ms_last" localSheetId="5">rmsprop!$J$32:$K$32</definedName>
    <definedName name="pct_clipped" localSheetId="6">adam!$O$33</definedName>
    <definedName name="pct_clipped" localSheetId="9">adam_ann!$O$33</definedName>
    <definedName name="pct_clipped" localSheetId="7">eve!$P$33</definedName>
    <definedName name="pct_clipped" localSheetId="3">momentum!$M$33</definedName>
    <definedName name="pct_clipped" localSheetId="5">rmsprop!#REF!</definedName>
    <definedName name="prev_grad2" localSheetId="9">adam_ann!$N$3</definedName>
    <definedName name="rmse" localSheetId="2">'basic SGD'!$F$33</definedName>
    <definedName name="rmses" localSheetId="2">'basic SGD'!$C$38:$C$106</definedName>
    <definedName name="rmsestart" localSheetId="2">'basic SGD'!$C$36</definedName>
    <definedName name="rtee" localSheetId="7">eve!$F$36</definedName>
    <definedName name="slope" localSheetId="4">adagrad!$C$2</definedName>
    <definedName name="slope" localSheetId="8">adagrad_ann!$C$2</definedName>
    <definedName name="slope" localSheetId="6">adam!$C$2</definedName>
    <definedName name="slope" localSheetId="9">adam_ann!$C$2</definedName>
    <definedName name="slope" localSheetId="2">'basic SGD'!$C$2</definedName>
    <definedName name="slope" localSheetId="7">eve!$C$2</definedName>
    <definedName name="slope" localSheetId="3">momentum!$C$2</definedName>
    <definedName name="slope" localSheetId="5">rmsprop!$C$2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 r="N4" i="3"/>
  <c r="M4" i="3"/>
  <c r="L4" i="3"/>
  <c r="J4" i="3"/>
  <c r="I4" i="3"/>
  <c r="G4" i="3"/>
  <c r="H4" i="3"/>
  <c r="F4" i="3"/>
  <c r="E4" i="3"/>
  <c r="D4" i="3"/>
  <c r="C4" i="3"/>
  <c r="F2" i="2"/>
  <c r="N33" i="19" l="1"/>
  <c r="D4" i="19" l="1"/>
  <c r="C4" i="19"/>
  <c r="M3" i="19"/>
  <c r="L3" i="19"/>
  <c r="L34" i="19" s="1"/>
  <c r="K3" i="19"/>
  <c r="K34" i="19" s="1"/>
  <c r="J3" i="19"/>
  <c r="M1" i="19"/>
  <c r="K1" i="19"/>
  <c r="F36" i="16"/>
  <c r="F38" i="16" s="1"/>
  <c r="D4" i="18"/>
  <c r="C4" i="18"/>
  <c r="K3" i="18"/>
  <c r="J3" i="18"/>
  <c r="K1" i="18"/>
  <c r="F4" i="19" l="1"/>
  <c r="G4" i="19" s="1"/>
  <c r="K4" i="19" s="1"/>
  <c r="E4" i="19"/>
  <c r="F4" i="18"/>
  <c r="G4" i="18" s="1"/>
  <c r="K4" i="18" s="1"/>
  <c r="I4" i="18" s="1"/>
  <c r="D5" i="18" s="1"/>
  <c r="E4" i="18"/>
  <c r="D4" i="16"/>
  <c r="C4" i="16"/>
  <c r="N3" i="16"/>
  <c r="M3" i="16"/>
  <c r="L3" i="16"/>
  <c r="K3" i="16"/>
  <c r="N1" i="16"/>
  <c r="L1" i="16"/>
  <c r="J4" i="19" l="1"/>
  <c r="J5" i="19" s="1"/>
  <c r="M4" i="19"/>
  <c r="I4" i="19" s="1"/>
  <c r="D5" i="19" s="1"/>
  <c r="L4" i="19"/>
  <c r="J4" i="18"/>
  <c r="E4" i="16"/>
  <c r="F4" i="16" s="1"/>
  <c r="G4" i="16"/>
  <c r="H4" i="16" s="1"/>
  <c r="N4" i="16" s="1"/>
  <c r="K3" i="15"/>
  <c r="J3" i="15"/>
  <c r="K1" i="15"/>
  <c r="D4" i="15"/>
  <c r="C4" i="15"/>
  <c r="M3" i="15"/>
  <c r="L3" i="15"/>
  <c r="M1" i="15"/>
  <c r="H4" i="18" l="1"/>
  <c r="C5" i="18" s="1"/>
  <c r="H4" i="19"/>
  <c r="C5" i="19" s="1"/>
  <c r="E5" i="19" s="1"/>
  <c r="L4" i="16"/>
  <c r="K4" i="16"/>
  <c r="M4" i="16"/>
  <c r="F4" i="15"/>
  <c r="E4" i="15"/>
  <c r="K1" i="13"/>
  <c r="K3" i="13"/>
  <c r="J3" i="13"/>
  <c r="D4" i="13"/>
  <c r="C4" i="13"/>
  <c r="F5" i="18" l="1"/>
  <c r="E5" i="18"/>
  <c r="F5" i="19"/>
  <c r="I4" i="16"/>
  <c r="C5" i="16" s="1"/>
  <c r="J4" i="16"/>
  <c r="D5" i="16" s="1"/>
  <c r="G4" i="15"/>
  <c r="J4" i="15"/>
  <c r="L4" i="15"/>
  <c r="F4" i="13"/>
  <c r="J4" i="13" s="1"/>
  <c r="E4" i="13"/>
  <c r="J5" i="18" l="1"/>
  <c r="H5" i="18" s="1"/>
  <c r="C6" i="18" s="1"/>
  <c r="G5" i="18"/>
  <c r="K5" i="18" s="1"/>
  <c r="I5" i="18" s="1"/>
  <c r="G5" i="19"/>
  <c r="K5" i="19" s="1"/>
  <c r="L5" i="19"/>
  <c r="H5" i="19" s="1"/>
  <c r="E5" i="16"/>
  <c r="F5" i="16" s="1"/>
  <c r="D6" i="18"/>
  <c r="G5" i="16"/>
  <c r="H5" i="16" s="1"/>
  <c r="H4" i="15"/>
  <c r="C5" i="15" s="1"/>
  <c r="K4" i="15"/>
  <c r="M4" i="15"/>
  <c r="G4" i="13"/>
  <c r="H4" i="13"/>
  <c r="C5" i="13" s="1"/>
  <c r="M5" i="19" l="1"/>
  <c r="I5" i="19" s="1"/>
  <c r="D6" i="19" s="1"/>
  <c r="C6" i="19"/>
  <c r="F6" i="18"/>
  <c r="E6" i="18"/>
  <c r="M5" i="16"/>
  <c r="K5" i="16"/>
  <c r="L5" i="16"/>
  <c r="N5" i="16"/>
  <c r="I4" i="15"/>
  <c r="D5" i="15" s="1"/>
  <c r="F5" i="15" s="1"/>
  <c r="K4" i="13"/>
  <c r="I4" i="13"/>
  <c r="D5" i="13" s="1"/>
  <c r="F6" i="19" l="1"/>
  <c r="G6" i="19" s="1"/>
  <c r="E6" i="19"/>
  <c r="I5" i="16"/>
  <c r="C6" i="16" s="1"/>
  <c r="J5" i="16"/>
  <c r="D6" i="16" s="1"/>
  <c r="G6" i="18"/>
  <c r="J6" i="18"/>
  <c r="H6" i="18" s="1"/>
  <c r="E5" i="15"/>
  <c r="J5" i="15"/>
  <c r="L5" i="15"/>
  <c r="G5" i="15"/>
  <c r="F5" i="13"/>
  <c r="E5" i="13"/>
  <c r="D4" i="6"/>
  <c r="C4" i="6"/>
  <c r="G2" i="6"/>
  <c r="F2" i="6"/>
  <c r="J6" i="19" l="1"/>
  <c r="L6" i="19"/>
  <c r="C7" i="18"/>
  <c r="K6" i="18"/>
  <c r="I6" i="18" s="1"/>
  <c r="G6" i="16"/>
  <c r="E6" i="16"/>
  <c r="F6" i="16" s="1"/>
  <c r="H5" i="15"/>
  <c r="C6" i="15" s="1"/>
  <c r="K5" i="15"/>
  <c r="M5" i="15"/>
  <c r="J5" i="13"/>
  <c r="H5" i="13"/>
  <c r="C6" i="13" s="1"/>
  <c r="G5" i="13"/>
  <c r="E4" i="6"/>
  <c r="F4" i="6"/>
  <c r="G2" i="2"/>
  <c r="D4" i="2"/>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6" i="1"/>
  <c r="C6" i="1" s="1"/>
  <c r="H6" i="19" l="1"/>
  <c r="C7" i="19" s="1"/>
  <c r="K6" i="19"/>
  <c r="M6" i="19"/>
  <c r="D7" i="18"/>
  <c r="H6" i="16"/>
  <c r="M6" i="16"/>
  <c r="K6" i="16"/>
  <c r="I5" i="15"/>
  <c r="D6" i="15" s="1"/>
  <c r="F6" i="15" s="1"/>
  <c r="I5" i="13"/>
  <c r="D6" i="13" s="1"/>
  <c r="K5" i="13"/>
  <c r="G4" i="6"/>
  <c r="I4" i="6"/>
  <c r="C5" i="6" s="1"/>
  <c r="C4" i="2"/>
  <c r="F4" i="2" s="1"/>
  <c r="H4" i="2" l="1"/>
  <c r="I6" i="19"/>
  <c r="D7" i="19" s="1"/>
  <c r="I6" i="16"/>
  <c r="C7" i="16" s="1"/>
  <c r="E7" i="18"/>
  <c r="F7" i="18"/>
  <c r="N6" i="16"/>
  <c r="L6" i="16"/>
  <c r="E6" i="15"/>
  <c r="G6" i="15"/>
  <c r="L6" i="15"/>
  <c r="J6" i="15"/>
  <c r="F6" i="13"/>
  <c r="J6" i="13" s="1"/>
  <c r="E6" i="13"/>
  <c r="K4" i="3"/>
  <c r="G4" i="2"/>
  <c r="I4" i="2" s="1"/>
  <c r="H4" i="6"/>
  <c r="D5" i="6" s="1"/>
  <c r="E5" i="6" s="1"/>
  <c r="E4" i="2"/>
  <c r="F7" i="19" l="1"/>
  <c r="E7" i="19"/>
  <c r="J6" i="16"/>
  <c r="D7" i="16" s="1"/>
  <c r="G7" i="18"/>
  <c r="J7" i="18"/>
  <c r="H7" i="18" s="1"/>
  <c r="H6" i="15"/>
  <c r="C7" i="15" s="1"/>
  <c r="M6" i="15"/>
  <c r="K6" i="15"/>
  <c r="H6" i="13"/>
  <c r="C7" i="13" s="1"/>
  <c r="G6" i="13"/>
  <c r="K6" i="13" s="1"/>
  <c r="D5" i="3"/>
  <c r="E5" i="3" s="1"/>
  <c r="F5" i="3" s="1"/>
  <c r="D5" i="2"/>
  <c r="F5" i="6"/>
  <c r="C5" i="2"/>
  <c r="G7" i="19" l="1"/>
  <c r="L7" i="19"/>
  <c r="J7" i="19"/>
  <c r="E7" i="16"/>
  <c r="F7" i="16" s="1"/>
  <c r="K7" i="18"/>
  <c r="I7" i="18" s="1"/>
  <c r="C8" i="18"/>
  <c r="G7" i="16"/>
  <c r="I6" i="15"/>
  <c r="D7" i="15" s="1"/>
  <c r="I6" i="13"/>
  <c r="D7" i="13" s="1"/>
  <c r="G5" i="6"/>
  <c r="I5" i="6"/>
  <c r="C6" i="6" s="1"/>
  <c r="G5" i="3"/>
  <c r="I5" i="3"/>
  <c r="F5" i="2"/>
  <c r="E5" i="2"/>
  <c r="H5" i="2" l="1"/>
  <c r="H7" i="19"/>
  <c r="C8" i="19" s="1"/>
  <c r="M7" i="19"/>
  <c r="K7" i="19"/>
  <c r="D8" i="18"/>
  <c r="H7" i="16"/>
  <c r="M7" i="16"/>
  <c r="K7" i="16"/>
  <c r="F7" i="15"/>
  <c r="E7" i="15"/>
  <c r="F7" i="13"/>
  <c r="E7" i="13"/>
  <c r="J5" i="3"/>
  <c r="K5" i="3"/>
  <c r="N5" i="3" s="1"/>
  <c r="C6" i="3" s="1"/>
  <c r="C6" i="2"/>
  <c r="H5" i="6"/>
  <c r="D6" i="6" s="1"/>
  <c r="G5" i="2"/>
  <c r="I5" i="2" s="1"/>
  <c r="I7" i="19" l="1"/>
  <c r="D8" i="19" s="1"/>
  <c r="E8" i="19" s="1"/>
  <c r="I7" i="16"/>
  <c r="C8" i="16" s="1"/>
  <c r="E8" i="18"/>
  <c r="F8" i="18"/>
  <c r="N7" i="16"/>
  <c r="L7" i="16"/>
  <c r="J7" i="15"/>
  <c r="L7" i="15"/>
  <c r="G7" i="15"/>
  <c r="J7" i="13"/>
  <c r="H7" i="13"/>
  <c r="C8" i="13" s="1"/>
  <c r="G7" i="13"/>
  <c r="H5" i="3"/>
  <c r="L5" i="3"/>
  <c r="M5" i="3" s="1"/>
  <c r="D6" i="3" s="1"/>
  <c r="G6" i="3" s="1"/>
  <c r="D6" i="2"/>
  <c r="E6" i="6"/>
  <c r="F6" i="6"/>
  <c r="F8" i="19" l="1"/>
  <c r="J7" i="16"/>
  <c r="D8" i="16" s="1"/>
  <c r="G8" i="18"/>
  <c r="J8" i="18"/>
  <c r="H8" i="18" s="1"/>
  <c r="H7" i="15"/>
  <c r="C8" i="15" s="1"/>
  <c r="M7" i="15"/>
  <c r="K7" i="15"/>
  <c r="K7" i="13"/>
  <c r="I7" i="13"/>
  <c r="D8" i="13" s="1"/>
  <c r="E6" i="3"/>
  <c r="F6" i="3" s="1"/>
  <c r="I6" i="3"/>
  <c r="G6" i="6"/>
  <c r="I6" i="6"/>
  <c r="C7" i="6" s="1"/>
  <c r="E6" i="2"/>
  <c r="F6" i="2"/>
  <c r="H6" i="2" l="1"/>
  <c r="E8" i="13"/>
  <c r="F8" i="13"/>
  <c r="K6" i="3"/>
  <c r="N6" i="3" s="1"/>
  <c r="C7" i="3" s="1"/>
  <c r="G8" i="19"/>
  <c r="J8" i="19"/>
  <c r="L8" i="19"/>
  <c r="C9" i="18"/>
  <c r="K8" i="18"/>
  <c r="I8" i="18" s="1"/>
  <c r="G8" i="16"/>
  <c r="E8" i="16"/>
  <c r="F8" i="16" s="1"/>
  <c r="I7" i="15"/>
  <c r="D8" i="15" s="1"/>
  <c r="E8" i="15" s="1"/>
  <c r="J6" i="3"/>
  <c r="H6" i="3"/>
  <c r="C7" i="2"/>
  <c r="H6" i="6"/>
  <c r="D7" i="6" s="1"/>
  <c r="G6" i="2"/>
  <c r="I6" i="2" s="1"/>
  <c r="L6" i="3" l="1"/>
  <c r="M6" i="3" s="1"/>
  <c r="D7" i="3" s="1"/>
  <c r="G7" i="3" s="1"/>
  <c r="H8" i="19"/>
  <c r="C9" i="19" s="1"/>
  <c r="M8" i="19"/>
  <c r="K8" i="19"/>
  <c r="D9" i="18"/>
  <c r="H8" i="16"/>
  <c r="M8" i="16"/>
  <c r="K8" i="16"/>
  <c r="F8" i="15"/>
  <c r="J8" i="13"/>
  <c r="H8" i="13"/>
  <c r="C9" i="13" s="1"/>
  <c r="G8" i="13"/>
  <c r="D7" i="2"/>
  <c r="E7" i="6"/>
  <c r="F7" i="6"/>
  <c r="I7" i="3" l="1"/>
  <c r="E7" i="3"/>
  <c r="F7" i="3" s="1"/>
  <c r="I8" i="19"/>
  <c r="D9" i="19" s="1"/>
  <c r="I8" i="16"/>
  <c r="C9" i="16" s="1"/>
  <c r="E9" i="18"/>
  <c r="F9" i="18"/>
  <c r="N8" i="16"/>
  <c r="L8" i="16"/>
  <c r="L8" i="15"/>
  <c r="J8" i="15"/>
  <c r="G8" i="15"/>
  <c r="K8" i="13"/>
  <c r="I8" i="13"/>
  <c r="D9" i="13" s="1"/>
  <c r="G7" i="6"/>
  <c r="I7" i="6"/>
  <c r="C8" i="6" s="1"/>
  <c r="E7" i="2"/>
  <c r="F7" i="2"/>
  <c r="H7" i="2" l="1"/>
  <c r="K7" i="3"/>
  <c r="L7" i="3" s="1"/>
  <c r="M7" i="3" s="1"/>
  <c r="D8" i="3" s="1"/>
  <c r="F9" i="19"/>
  <c r="E9" i="19"/>
  <c r="J8" i="16"/>
  <c r="D9" i="16" s="1"/>
  <c r="G9" i="18"/>
  <c r="J9" i="18"/>
  <c r="H9" i="18" s="1"/>
  <c r="H8" i="15"/>
  <c r="C9" i="15" s="1"/>
  <c r="K8" i="15"/>
  <c r="M8" i="15"/>
  <c r="F9" i="13"/>
  <c r="E9" i="13"/>
  <c r="C8" i="2"/>
  <c r="H7" i="3"/>
  <c r="J7" i="3"/>
  <c r="H7" i="6"/>
  <c r="D8" i="6" s="1"/>
  <c r="G7" i="2"/>
  <c r="I7" i="2" s="1"/>
  <c r="N7" i="3" l="1"/>
  <c r="C8" i="3" s="1"/>
  <c r="E8" i="3" s="1"/>
  <c r="K8" i="3" s="1"/>
  <c r="N8" i="3" s="1"/>
  <c r="C9" i="3" s="1"/>
  <c r="G9" i="19"/>
  <c r="L9" i="19"/>
  <c r="J9" i="19"/>
  <c r="E9" i="16"/>
  <c r="F9" i="16" s="1"/>
  <c r="C10" i="18"/>
  <c r="K9" i="18"/>
  <c r="I9" i="18" s="1"/>
  <c r="G9" i="16"/>
  <c r="I8" i="15"/>
  <c r="D9" i="15" s="1"/>
  <c r="F9" i="15" s="1"/>
  <c r="J9" i="13"/>
  <c r="G9" i="13"/>
  <c r="H9" i="13"/>
  <c r="C10" i="13" s="1"/>
  <c r="D8" i="2"/>
  <c r="E8" i="6"/>
  <c r="F8" i="6"/>
  <c r="I8" i="3" l="1"/>
  <c r="G8" i="3"/>
  <c r="H9" i="19"/>
  <c r="C10" i="19" s="1"/>
  <c r="M9" i="19"/>
  <c r="K9" i="19"/>
  <c r="D10" i="18"/>
  <c r="H9" i="16"/>
  <c r="K9" i="16"/>
  <c r="M9" i="16"/>
  <c r="G9" i="15"/>
  <c r="L9" i="15"/>
  <c r="J9" i="15"/>
  <c r="E9" i="15"/>
  <c r="F8" i="3"/>
  <c r="K9" i="13"/>
  <c r="I9" i="13"/>
  <c r="D10" i="13" s="1"/>
  <c r="L8" i="3"/>
  <c r="M8" i="3" s="1"/>
  <c r="D9" i="3" s="1"/>
  <c r="E9" i="3" s="1"/>
  <c r="E8" i="2"/>
  <c r="G8" i="6"/>
  <c r="I8" i="6"/>
  <c r="C9" i="6" s="1"/>
  <c r="F8" i="2"/>
  <c r="H8" i="2" l="1"/>
  <c r="J8" i="3"/>
  <c r="I9" i="19"/>
  <c r="D10" i="19" s="1"/>
  <c r="E10" i="19" s="1"/>
  <c r="I9" i="16"/>
  <c r="C10" i="16" s="1"/>
  <c r="E10" i="18"/>
  <c r="F10" i="18"/>
  <c r="L9" i="16"/>
  <c r="N9" i="16"/>
  <c r="K9" i="15"/>
  <c r="M9" i="15"/>
  <c r="H9" i="15"/>
  <c r="C10" i="15" s="1"/>
  <c r="H8" i="3"/>
  <c r="E10" i="13"/>
  <c r="F10" i="13"/>
  <c r="C9" i="2"/>
  <c r="F9" i="3"/>
  <c r="K9" i="3"/>
  <c r="N9" i="3" s="1"/>
  <c r="H8" i="6"/>
  <c r="D9" i="6" s="1"/>
  <c r="G9" i="3"/>
  <c r="I9" i="3"/>
  <c r="G8" i="2"/>
  <c r="I8" i="2" s="1"/>
  <c r="F10" i="19" l="1"/>
  <c r="J9" i="16"/>
  <c r="D10" i="16" s="1"/>
  <c r="G10" i="18"/>
  <c r="J10" i="18"/>
  <c r="H10" i="18" s="1"/>
  <c r="I9" i="15"/>
  <c r="D10" i="15" s="1"/>
  <c r="F10" i="15" s="1"/>
  <c r="H9" i="3"/>
  <c r="J9" i="3"/>
  <c r="J10" i="13"/>
  <c r="G10" i="13"/>
  <c r="H10" i="13"/>
  <c r="C11" i="13" s="1"/>
  <c r="D9" i="2"/>
  <c r="F9" i="6"/>
  <c r="E9" i="6"/>
  <c r="L9" i="3"/>
  <c r="M9" i="3" s="1"/>
  <c r="D10" i="3" s="1"/>
  <c r="C10" i="3"/>
  <c r="G10" i="19" l="1"/>
  <c r="J10" i="19"/>
  <c r="L10" i="19"/>
  <c r="C11" i="18"/>
  <c r="K10" i="18"/>
  <c r="I10" i="18" s="1"/>
  <c r="G10" i="16"/>
  <c r="E10" i="16"/>
  <c r="F10" i="16" s="1"/>
  <c r="E10" i="15"/>
  <c r="J10" i="15"/>
  <c r="G10" i="15"/>
  <c r="L10" i="15"/>
  <c r="K10" i="13"/>
  <c r="I10" i="13"/>
  <c r="D11" i="13" s="1"/>
  <c r="E9" i="2"/>
  <c r="G9" i="6"/>
  <c r="H9" i="6" s="1"/>
  <c r="D10" i="6" s="1"/>
  <c r="I9" i="6"/>
  <c r="C10" i="6" s="1"/>
  <c r="E10" i="3"/>
  <c r="I10" i="3"/>
  <c r="G10" i="3"/>
  <c r="F9" i="2"/>
  <c r="H9" i="2" s="1"/>
  <c r="H10" i="19" l="1"/>
  <c r="C11" i="19" s="1"/>
  <c r="M10" i="19"/>
  <c r="K10" i="19"/>
  <c r="D11" i="18"/>
  <c r="H10" i="16"/>
  <c r="M10" i="16"/>
  <c r="K10" i="16"/>
  <c r="K10" i="15"/>
  <c r="H10" i="15"/>
  <c r="C11" i="15" s="1"/>
  <c r="M10" i="15"/>
  <c r="F11" i="13"/>
  <c r="E11" i="13"/>
  <c r="C10" i="2"/>
  <c r="F10" i="3"/>
  <c r="H10" i="3" s="1"/>
  <c r="K10" i="3"/>
  <c r="L10" i="3" s="1"/>
  <c r="M10" i="3" s="1"/>
  <c r="D11" i="3" s="1"/>
  <c r="E10" i="6"/>
  <c r="F10" i="6"/>
  <c r="G10" i="6" s="1"/>
  <c r="H10" i="6" s="1"/>
  <c r="D11" i="6" s="1"/>
  <c r="G9" i="2"/>
  <c r="I9" i="2" s="1"/>
  <c r="I10" i="19" l="1"/>
  <c r="D11" i="19" s="1"/>
  <c r="E11" i="19" s="1"/>
  <c r="I10" i="16"/>
  <c r="C11" i="16" s="1"/>
  <c r="E11" i="18"/>
  <c r="F11" i="18"/>
  <c r="N10" i="16"/>
  <c r="L10" i="16"/>
  <c r="I10" i="15"/>
  <c r="D11" i="15" s="1"/>
  <c r="E11" i="15" s="1"/>
  <c r="J11" i="13"/>
  <c r="G11" i="13"/>
  <c r="H11" i="13"/>
  <c r="C12" i="13" s="1"/>
  <c r="J10" i="3"/>
  <c r="D10" i="2"/>
  <c r="N10" i="3"/>
  <c r="C11" i="3" s="1"/>
  <c r="E11" i="3" s="1"/>
  <c r="I10" i="6"/>
  <c r="C11" i="6" s="1"/>
  <c r="F11" i="19" l="1"/>
  <c r="J10" i="16"/>
  <c r="D11" i="16" s="1"/>
  <c r="G11" i="18"/>
  <c r="J11" i="18"/>
  <c r="H11" i="18" s="1"/>
  <c r="F11" i="15"/>
  <c r="K11" i="13"/>
  <c r="I11" i="13"/>
  <c r="D12" i="13" s="1"/>
  <c r="G11" i="3"/>
  <c r="E10" i="2"/>
  <c r="F11" i="3"/>
  <c r="K11" i="3"/>
  <c r="L11" i="3" s="1"/>
  <c r="M11" i="3" s="1"/>
  <c r="D12" i="3" s="1"/>
  <c r="I11" i="3"/>
  <c r="E11" i="6"/>
  <c r="F11" i="6"/>
  <c r="G11" i="6" s="1"/>
  <c r="H11" i="6" s="1"/>
  <c r="D12" i="6" s="1"/>
  <c r="F10" i="2"/>
  <c r="H10" i="2" s="1"/>
  <c r="G11" i="19" l="1"/>
  <c r="L11" i="19"/>
  <c r="J11" i="19"/>
  <c r="E11" i="16"/>
  <c r="F11" i="16" s="1"/>
  <c r="C12" i="18"/>
  <c r="K11" i="18"/>
  <c r="I11" i="18" s="1"/>
  <c r="G11" i="16"/>
  <c r="G11" i="15"/>
  <c r="L11" i="15"/>
  <c r="J11" i="15"/>
  <c r="E12" i="13"/>
  <c r="F12" i="13"/>
  <c r="J11" i="3"/>
  <c r="H11" i="3"/>
  <c r="C11" i="2"/>
  <c r="N11" i="3"/>
  <c r="C12" i="3" s="1"/>
  <c r="I12" i="3" s="1"/>
  <c r="I11" i="6"/>
  <c r="C12" i="6" s="1"/>
  <c r="G10" i="2"/>
  <c r="I10" i="2" s="1"/>
  <c r="H11" i="19" l="1"/>
  <c r="C12" i="19" s="1"/>
  <c r="M11" i="19"/>
  <c r="K11" i="19"/>
  <c r="D12" i="18"/>
  <c r="H11" i="16"/>
  <c r="K11" i="16"/>
  <c r="M11" i="16"/>
  <c r="K11" i="15"/>
  <c r="M11" i="15"/>
  <c r="H11" i="15"/>
  <c r="C12" i="15" s="1"/>
  <c r="J12" i="13"/>
  <c r="H12" i="13"/>
  <c r="C13" i="13" s="1"/>
  <c r="G12" i="13"/>
  <c r="D11" i="2"/>
  <c r="E12" i="3"/>
  <c r="G12" i="3"/>
  <c r="E12" i="6"/>
  <c r="F12" i="6"/>
  <c r="G12" i="6" s="1"/>
  <c r="H12" i="6" s="1"/>
  <c r="D13" i="6" s="1"/>
  <c r="I11" i="19" l="1"/>
  <c r="D12" i="19" s="1"/>
  <c r="I11" i="16"/>
  <c r="C12" i="16" s="1"/>
  <c r="E12" i="18"/>
  <c r="F12" i="18"/>
  <c r="L11" i="16"/>
  <c r="N11" i="16"/>
  <c r="I11" i="15"/>
  <c r="D12" i="15" s="1"/>
  <c r="E12" i="15" s="1"/>
  <c r="K12" i="13"/>
  <c r="I12" i="13"/>
  <c r="D13" i="13" s="1"/>
  <c r="E13" i="13" s="1"/>
  <c r="E11" i="2"/>
  <c r="F12" i="3"/>
  <c r="J12" i="3" s="1"/>
  <c r="K12" i="3"/>
  <c r="I12" i="6"/>
  <c r="C13" i="6" s="1"/>
  <c r="F11" i="2"/>
  <c r="H11" i="2" s="1"/>
  <c r="F12" i="19" l="1"/>
  <c r="E12" i="19"/>
  <c r="J11" i="16"/>
  <c r="D12" i="16" s="1"/>
  <c r="G12" i="18"/>
  <c r="J12" i="18"/>
  <c r="H12" i="18" s="1"/>
  <c r="F12" i="15"/>
  <c r="F13" i="13"/>
  <c r="C12" i="2"/>
  <c r="L12" i="3"/>
  <c r="M12" i="3" s="1"/>
  <c r="D13" i="3" s="1"/>
  <c r="N12" i="3"/>
  <c r="C13" i="3" s="1"/>
  <c r="H12" i="3"/>
  <c r="E13" i="6"/>
  <c r="F13" i="6"/>
  <c r="G13" i="6" s="1"/>
  <c r="H13" i="6" s="1"/>
  <c r="D14" i="6" s="1"/>
  <c r="G11" i="2"/>
  <c r="I11" i="2" s="1"/>
  <c r="G12" i="19" l="1"/>
  <c r="J12" i="19"/>
  <c r="L12" i="19"/>
  <c r="E12" i="16"/>
  <c r="F12" i="16" s="1"/>
  <c r="C13" i="18"/>
  <c r="K12" i="18"/>
  <c r="I12" i="18" s="1"/>
  <c r="G12" i="16"/>
  <c r="L12" i="15"/>
  <c r="G12" i="15"/>
  <c r="J12" i="15"/>
  <c r="J13" i="13"/>
  <c r="G13" i="13"/>
  <c r="H13" i="13"/>
  <c r="C14" i="13" s="1"/>
  <c r="D12" i="2"/>
  <c r="E13" i="3"/>
  <c r="G13" i="3"/>
  <c r="I13" i="3"/>
  <c r="I13" i="6"/>
  <c r="C14" i="6" s="1"/>
  <c r="H12" i="19" l="1"/>
  <c r="C13" i="19" s="1"/>
  <c r="K12" i="19"/>
  <c r="M12" i="19"/>
  <c r="D13" i="18"/>
  <c r="H12" i="16"/>
  <c r="K12" i="16"/>
  <c r="M12" i="16"/>
  <c r="H12" i="15"/>
  <c r="C13" i="15" s="1"/>
  <c r="K12" i="15"/>
  <c r="M12" i="15"/>
  <c r="K13" i="13"/>
  <c r="I13" i="13"/>
  <c r="D14" i="13" s="1"/>
  <c r="E12" i="2"/>
  <c r="F13" i="3"/>
  <c r="H13" i="3" s="1"/>
  <c r="K13" i="3"/>
  <c r="E14" i="6"/>
  <c r="F14" i="6"/>
  <c r="G14" i="6" s="1"/>
  <c r="H14" i="6" s="1"/>
  <c r="D15" i="6" s="1"/>
  <c r="F12" i="2"/>
  <c r="H12" i="2" s="1"/>
  <c r="I12" i="19" l="1"/>
  <c r="D13" i="19" s="1"/>
  <c r="I12" i="16"/>
  <c r="C13" i="16" s="1"/>
  <c r="F13" i="18"/>
  <c r="E13" i="18"/>
  <c r="N12" i="16"/>
  <c r="L12" i="16"/>
  <c r="I12" i="15"/>
  <c r="D13" i="15" s="1"/>
  <c r="F13" i="15" s="1"/>
  <c r="F14" i="13"/>
  <c r="E14" i="13"/>
  <c r="J13" i="3"/>
  <c r="C13" i="2"/>
  <c r="L13" i="3"/>
  <c r="M13" i="3" s="1"/>
  <c r="D14" i="3" s="1"/>
  <c r="N13" i="3"/>
  <c r="C14" i="3" s="1"/>
  <c r="I14" i="6"/>
  <c r="C15" i="6" s="1"/>
  <c r="G12" i="2"/>
  <c r="I12" i="2" s="1"/>
  <c r="F13" i="19" l="1"/>
  <c r="E13" i="19"/>
  <c r="J12" i="16"/>
  <c r="D13" i="16" s="1"/>
  <c r="G13" i="18"/>
  <c r="J13" i="18"/>
  <c r="H13" i="18" s="1"/>
  <c r="E13" i="15"/>
  <c r="J13" i="15"/>
  <c r="L13" i="15"/>
  <c r="G13" i="15"/>
  <c r="J14" i="13"/>
  <c r="G14" i="13"/>
  <c r="H14" i="13"/>
  <c r="C15" i="13" s="1"/>
  <c r="D13" i="2"/>
  <c r="G14" i="3"/>
  <c r="E14" i="3"/>
  <c r="I14" i="3"/>
  <c r="F15" i="6"/>
  <c r="G15" i="6" s="1"/>
  <c r="H15" i="6" s="1"/>
  <c r="D16" i="6" s="1"/>
  <c r="E15" i="6"/>
  <c r="G13" i="19" l="1"/>
  <c r="L13" i="19"/>
  <c r="J13" i="19"/>
  <c r="K13" i="18"/>
  <c r="I13" i="18" s="1"/>
  <c r="C14" i="18"/>
  <c r="G13" i="16"/>
  <c r="E13" i="16"/>
  <c r="F13" i="16" s="1"/>
  <c r="H13" i="15"/>
  <c r="C14" i="15" s="1"/>
  <c r="K13" i="15"/>
  <c r="M13" i="15"/>
  <c r="K14" i="13"/>
  <c r="I14" i="13"/>
  <c r="D15" i="13" s="1"/>
  <c r="E15" i="13" s="1"/>
  <c r="E13" i="2"/>
  <c r="F14" i="3"/>
  <c r="J14" i="3" s="1"/>
  <c r="K14" i="3"/>
  <c r="I15" i="6"/>
  <c r="C16" i="6" s="1"/>
  <c r="F13" i="2"/>
  <c r="H13" i="2" s="1"/>
  <c r="H13" i="19" l="1"/>
  <c r="C14" i="19" s="1"/>
  <c r="M13" i="19"/>
  <c r="K13" i="19"/>
  <c r="D14" i="18"/>
  <c r="H13" i="16"/>
  <c r="M13" i="16"/>
  <c r="K13" i="16"/>
  <c r="I13" i="15"/>
  <c r="D14" i="15" s="1"/>
  <c r="E14" i="15" s="1"/>
  <c r="F15" i="13"/>
  <c r="C14" i="2"/>
  <c r="H14" i="3"/>
  <c r="L14" i="3"/>
  <c r="M14" i="3" s="1"/>
  <c r="D15" i="3" s="1"/>
  <c r="N14" i="3"/>
  <c r="C15" i="3" s="1"/>
  <c r="F16" i="6"/>
  <c r="G16" i="6" s="1"/>
  <c r="H16" i="6" s="1"/>
  <c r="D17" i="6" s="1"/>
  <c r="E16" i="6"/>
  <c r="G13" i="2"/>
  <c r="I13" i="2" s="1"/>
  <c r="I13" i="19" l="1"/>
  <c r="D14" i="19" s="1"/>
  <c r="I13" i="16"/>
  <c r="C14" i="16" s="1"/>
  <c r="F14" i="18"/>
  <c r="E14" i="18"/>
  <c r="N13" i="16"/>
  <c r="L13" i="16"/>
  <c r="F14" i="15"/>
  <c r="L14" i="15" s="1"/>
  <c r="J15" i="13"/>
  <c r="H15" i="13"/>
  <c r="C16" i="13" s="1"/>
  <c r="G15" i="13"/>
  <c r="D14" i="2"/>
  <c r="G15" i="3"/>
  <c r="E15" i="3"/>
  <c r="I15" i="3"/>
  <c r="I16" i="6"/>
  <c r="C17" i="6" s="1"/>
  <c r="E17" i="6" s="1"/>
  <c r="F14" i="19" l="1"/>
  <c r="E14" i="19"/>
  <c r="J13" i="16"/>
  <c r="D14" i="16" s="1"/>
  <c r="G14" i="18"/>
  <c r="J14" i="18"/>
  <c r="H14" i="18" s="1"/>
  <c r="J14" i="15"/>
  <c r="H14" i="15" s="1"/>
  <c r="C15" i="15" s="1"/>
  <c r="G14" i="15"/>
  <c r="K15" i="13"/>
  <c r="I15" i="13"/>
  <c r="D16" i="13" s="1"/>
  <c r="E14" i="2"/>
  <c r="F15" i="3"/>
  <c r="J15" i="3" s="1"/>
  <c r="K15" i="3"/>
  <c r="F17" i="6"/>
  <c r="G17" i="6" s="1"/>
  <c r="H17" i="6" s="1"/>
  <c r="D18" i="6" s="1"/>
  <c r="F14" i="2"/>
  <c r="H14" i="2" s="1"/>
  <c r="G14" i="19" l="1"/>
  <c r="J14" i="19"/>
  <c r="L14" i="19"/>
  <c r="C15" i="18"/>
  <c r="K14" i="18"/>
  <c r="I14" i="18" s="1"/>
  <c r="G14" i="16"/>
  <c r="E14" i="16"/>
  <c r="F14" i="16" s="1"/>
  <c r="M14" i="15"/>
  <c r="K14" i="15"/>
  <c r="F16" i="13"/>
  <c r="E16" i="13"/>
  <c r="C15" i="2"/>
  <c r="H15" i="3"/>
  <c r="L15" i="3"/>
  <c r="M15" i="3" s="1"/>
  <c r="D16" i="3" s="1"/>
  <c r="N15" i="3"/>
  <c r="C16" i="3" s="1"/>
  <c r="I17" i="6"/>
  <c r="C18" i="6" s="1"/>
  <c r="G14" i="2"/>
  <c r="I14" i="2" s="1"/>
  <c r="H14" i="19" l="1"/>
  <c r="C15" i="19" s="1"/>
  <c r="M14" i="19"/>
  <c r="K14" i="19"/>
  <c r="D15" i="18"/>
  <c r="H14" i="16"/>
  <c r="M14" i="16"/>
  <c r="K14" i="16"/>
  <c r="I14" i="15"/>
  <c r="D15" i="15" s="1"/>
  <c r="F15" i="15" s="1"/>
  <c r="J16" i="13"/>
  <c r="G16" i="13"/>
  <c r="H16" i="13"/>
  <c r="C17" i="13" s="1"/>
  <c r="D15" i="2"/>
  <c r="G16" i="3"/>
  <c r="E16" i="3"/>
  <c r="I16" i="3"/>
  <c r="F18" i="6"/>
  <c r="G18" i="6" s="1"/>
  <c r="H18" i="6" s="1"/>
  <c r="D19" i="6" s="1"/>
  <c r="E18" i="6"/>
  <c r="I14" i="19" l="1"/>
  <c r="D15" i="19" s="1"/>
  <c r="E15" i="19" s="1"/>
  <c r="I14" i="16"/>
  <c r="C15" i="16" s="1"/>
  <c r="E15" i="18"/>
  <c r="F15" i="18"/>
  <c r="N14" i="16"/>
  <c r="L14" i="16"/>
  <c r="E15" i="15"/>
  <c r="J15" i="15"/>
  <c r="L15" i="15"/>
  <c r="G15" i="15"/>
  <c r="K16" i="13"/>
  <c r="I16" i="13"/>
  <c r="D17" i="13" s="1"/>
  <c r="E15" i="2"/>
  <c r="F15" i="2"/>
  <c r="H15" i="2" s="1"/>
  <c r="F16" i="3"/>
  <c r="J16" i="3" s="1"/>
  <c r="K16" i="3"/>
  <c r="I18" i="6"/>
  <c r="C19" i="6" s="1"/>
  <c r="E19" i="6" s="1"/>
  <c r="F15" i="19" l="1"/>
  <c r="J14" i="16"/>
  <c r="D15" i="16" s="1"/>
  <c r="G15" i="18"/>
  <c r="J15" i="18"/>
  <c r="H15" i="18" s="1"/>
  <c r="H15" i="15"/>
  <c r="C16" i="15" s="1"/>
  <c r="M15" i="15"/>
  <c r="K15" i="15"/>
  <c r="F17" i="13"/>
  <c r="E17" i="13"/>
  <c r="H16" i="3"/>
  <c r="C16" i="2"/>
  <c r="G15" i="2"/>
  <c r="I15" i="2" s="1"/>
  <c r="L16" i="3"/>
  <c r="M16" i="3" s="1"/>
  <c r="D17" i="3" s="1"/>
  <c r="N16" i="3"/>
  <c r="C17" i="3" s="1"/>
  <c r="F19" i="6"/>
  <c r="G19" i="6" s="1"/>
  <c r="H19" i="6" s="1"/>
  <c r="D20" i="6" s="1"/>
  <c r="G15" i="19" l="1"/>
  <c r="L15" i="19"/>
  <c r="J15" i="19"/>
  <c r="E15" i="16"/>
  <c r="F15" i="16" s="1"/>
  <c r="C16" i="18"/>
  <c r="K15" i="18"/>
  <c r="I15" i="18" s="1"/>
  <c r="G15" i="16"/>
  <c r="I15" i="15"/>
  <c r="D16" i="15" s="1"/>
  <c r="J17" i="13"/>
  <c r="G17" i="13"/>
  <c r="H17" i="13"/>
  <c r="C18" i="13" s="1"/>
  <c r="D16" i="2"/>
  <c r="G17" i="3"/>
  <c r="E17" i="3"/>
  <c r="I17" i="3"/>
  <c r="I19" i="6"/>
  <c r="C20" i="6" s="1"/>
  <c r="F20" i="6" s="1"/>
  <c r="G20" i="6" s="1"/>
  <c r="H20" i="6" s="1"/>
  <c r="D21" i="6" s="1"/>
  <c r="H15" i="19" l="1"/>
  <c r="C16" i="19" s="1"/>
  <c r="M15" i="19"/>
  <c r="K15" i="19"/>
  <c r="D16" i="18"/>
  <c r="H15" i="16"/>
  <c r="M15" i="16"/>
  <c r="K15" i="16"/>
  <c r="E16" i="15"/>
  <c r="F16" i="15"/>
  <c r="K17" i="13"/>
  <c r="I17" i="13"/>
  <c r="D18" i="13" s="1"/>
  <c r="E16" i="2"/>
  <c r="F16" i="2"/>
  <c r="H16" i="2" s="1"/>
  <c r="F17" i="3"/>
  <c r="H17" i="3" s="1"/>
  <c r="K17" i="3"/>
  <c r="E20" i="6"/>
  <c r="I20" i="6"/>
  <c r="C21" i="6" s="1"/>
  <c r="I15" i="19" l="1"/>
  <c r="D16" i="19" s="1"/>
  <c r="I15" i="16"/>
  <c r="C16" i="16" s="1"/>
  <c r="E16" i="18"/>
  <c r="F16" i="18"/>
  <c r="L15" i="16"/>
  <c r="N15" i="16"/>
  <c r="L16" i="15"/>
  <c r="G16" i="15"/>
  <c r="J16" i="15"/>
  <c r="F18" i="13"/>
  <c r="E18" i="13"/>
  <c r="J17" i="3"/>
  <c r="C17" i="2"/>
  <c r="G16" i="2"/>
  <c r="I16" i="2" s="1"/>
  <c r="L17" i="3"/>
  <c r="M17" i="3" s="1"/>
  <c r="D18" i="3" s="1"/>
  <c r="N17" i="3"/>
  <c r="C18" i="3" s="1"/>
  <c r="E21" i="6"/>
  <c r="F21" i="6"/>
  <c r="G21" i="6" s="1"/>
  <c r="H21" i="6" s="1"/>
  <c r="D22" i="6" s="1"/>
  <c r="F16" i="19" l="1"/>
  <c r="E16" i="19"/>
  <c r="J15" i="16"/>
  <c r="D16" i="16" s="1"/>
  <c r="G16" i="18"/>
  <c r="J16" i="18"/>
  <c r="H16" i="18" s="1"/>
  <c r="H16" i="15"/>
  <c r="C17" i="15" s="1"/>
  <c r="M16" i="15"/>
  <c r="K16" i="15"/>
  <c r="J18" i="13"/>
  <c r="G18" i="13"/>
  <c r="H18" i="13"/>
  <c r="C19" i="13" s="1"/>
  <c r="D17" i="2"/>
  <c r="G18" i="3"/>
  <c r="E18" i="3"/>
  <c r="I18" i="3"/>
  <c r="I21" i="6"/>
  <c r="C22" i="6" s="1"/>
  <c r="F22" i="6" s="1"/>
  <c r="G22" i="6" s="1"/>
  <c r="H22" i="6" s="1"/>
  <c r="D23" i="6" s="1"/>
  <c r="G16" i="19" l="1"/>
  <c r="J16" i="19"/>
  <c r="L16" i="19"/>
  <c r="E16" i="16"/>
  <c r="F16" i="16" s="1"/>
  <c r="C17" i="18"/>
  <c r="K16" i="18"/>
  <c r="I16" i="18" s="1"/>
  <c r="G16" i="16"/>
  <c r="I16" i="15"/>
  <c r="D17" i="15" s="1"/>
  <c r="F17" i="15" s="1"/>
  <c r="J17" i="15" s="1"/>
  <c r="K18" i="13"/>
  <c r="I18" i="13"/>
  <c r="D19" i="13" s="1"/>
  <c r="E17" i="2"/>
  <c r="F17" i="2"/>
  <c r="H17" i="2" s="1"/>
  <c r="F18" i="3"/>
  <c r="J18" i="3" s="1"/>
  <c r="K18" i="3"/>
  <c r="E22" i="6"/>
  <c r="I22" i="6"/>
  <c r="C23" i="6" s="1"/>
  <c r="E23" i="6" s="1"/>
  <c r="H16" i="19" l="1"/>
  <c r="C17" i="19" s="1"/>
  <c r="M16" i="19"/>
  <c r="K16" i="19"/>
  <c r="D17" i="18"/>
  <c r="H16" i="16"/>
  <c r="M16" i="16"/>
  <c r="K16" i="16"/>
  <c r="G17" i="15"/>
  <c r="K17" i="15" s="1"/>
  <c r="E17" i="15"/>
  <c r="L17" i="15"/>
  <c r="H17" i="15" s="1"/>
  <c r="C18" i="15" s="1"/>
  <c r="E19" i="13"/>
  <c r="F19" i="13"/>
  <c r="H18" i="3"/>
  <c r="C18" i="2"/>
  <c r="G17" i="2"/>
  <c r="I17" i="2" s="1"/>
  <c r="L18" i="3"/>
  <c r="M18" i="3" s="1"/>
  <c r="D19" i="3" s="1"/>
  <c r="N18" i="3"/>
  <c r="C19" i="3" s="1"/>
  <c r="F23" i="6"/>
  <c r="G23" i="6" s="1"/>
  <c r="H23" i="6" s="1"/>
  <c r="D24" i="6" s="1"/>
  <c r="I16" i="19" l="1"/>
  <c r="D17" i="19" s="1"/>
  <c r="I16" i="16"/>
  <c r="C17" i="16" s="1"/>
  <c r="F17" i="18"/>
  <c r="E17" i="18"/>
  <c r="N16" i="16"/>
  <c r="L16" i="16"/>
  <c r="M17" i="15"/>
  <c r="I17" i="15" s="1"/>
  <c r="D18" i="15" s="1"/>
  <c r="J19" i="13"/>
  <c r="H19" i="13"/>
  <c r="C20" i="13" s="1"/>
  <c r="G19" i="13"/>
  <c r="D18" i="2"/>
  <c r="G19" i="3"/>
  <c r="E19" i="3"/>
  <c r="I19" i="3"/>
  <c r="I23" i="6"/>
  <c r="C24" i="6" s="1"/>
  <c r="F24" i="6" s="1"/>
  <c r="G24" i="6" s="1"/>
  <c r="H24" i="6" s="1"/>
  <c r="D25" i="6" s="1"/>
  <c r="F17" i="19" l="1"/>
  <c r="E17" i="19"/>
  <c r="J16" i="16"/>
  <c r="D17" i="16" s="1"/>
  <c r="G17" i="18"/>
  <c r="J17" i="18"/>
  <c r="H17" i="18" s="1"/>
  <c r="F18" i="15"/>
  <c r="E18" i="15"/>
  <c r="K19" i="13"/>
  <c r="I19" i="13"/>
  <c r="D20" i="13" s="1"/>
  <c r="E18" i="2"/>
  <c r="F18" i="2"/>
  <c r="F19" i="3"/>
  <c r="J19" i="3" s="1"/>
  <c r="K19" i="3"/>
  <c r="I24" i="6"/>
  <c r="C25" i="6" s="1"/>
  <c r="E25" i="6" s="1"/>
  <c r="E24" i="6"/>
  <c r="G17" i="19" l="1"/>
  <c r="L17" i="19"/>
  <c r="J17" i="19"/>
  <c r="C18" i="18"/>
  <c r="K17" i="18"/>
  <c r="I17" i="18" s="1"/>
  <c r="G17" i="16"/>
  <c r="E17" i="16"/>
  <c r="F17" i="16" s="1"/>
  <c r="J18" i="15"/>
  <c r="G18" i="15"/>
  <c r="L18" i="15"/>
  <c r="E20" i="13"/>
  <c r="F20" i="13"/>
  <c r="G18" i="2"/>
  <c r="I18" i="2" s="1"/>
  <c r="D19" i="2" s="1"/>
  <c r="H18" i="2"/>
  <c r="C19" i="2" s="1"/>
  <c r="L19" i="3"/>
  <c r="M19" i="3" s="1"/>
  <c r="D20" i="3" s="1"/>
  <c r="N19" i="3"/>
  <c r="C20" i="3" s="1"/>
  <c r="H19" i="3"/>
  <c r="F25" i="6"/>
  <c r="G25" i="6" s="1"/>
  <c r="H25" i="6" s="1"/>
  <c r="D26" i="6" s="1"/>
  <c r="H17" i="19" l="1"/>
  <c r="C18" i="19" s="1"/>
  <c r="K17" i="19"/>
  <c r="M17" i="19"/>
  <c r="D18" i="18"/>
  <c r="H17" i="16"/>
  <c r="M17" i="16"/>
  <c r="K17" i="16"/>
  <c r="M18" i="15"/>
  <c r="K18" i="15"/>
  <c r="H18" i="15"/>
  <c r="C19" i="15" s="1"/>
  <c r="J20" i="13"/>
  <c r="H20" i="13"/>
  <c r="C21" i="13" s="1"/>
  <c r="G20" i="13"/>
  <c r="E19" i="2"/>
  <c r="G20" i="3"/>
  <c r="E20" i="3"/>
  <c r="I20" i="3"/>
  <c r="I25" i="6"/>
  <c r="C26" i="6" s="1"/>
  <c r="F19" i="2"/>
  <c r="H19" i="2" s="1"/>
  <c r="I17" i="19" l="1"/>
  <c r="D18" i="19" s="1"/>
  <c r="E18" i="19" s="1"/>
  <c r="I17" i="16"/>
  <c r="C18" i="16" s="1"/>
  <c r="F18" i="18"/>
  <c r="E18" i="18"/>
  <c r="N17" i="16"/>
  <c r="L17" i="16"/>
  <c r="I18" i="15"/>
  <c r="D19" i="15" s="1"/>
  <c r="F19" i="15" s="1"/>
  <c r="K20" i="13"/>
  <c r="I20" i="13"/>
  <c r="D21" i="13" s="1"/>
  <c r="C20" i="2"/>
  <c r="F20" i="3"/>
  <c r="H20" i="3" s="1"/>
  <c r="K20" i="3"/>
  <c r="E26" i="6"/>
  <c r="F26" i="6"/>
  <c r="G26" i="6" s="1"/>
  <c r="H26" i="6" s="1"/>
  <c r="D27" i="6" s="1"/>
  <c r="G19" i="2"/>
  <c r="I19" i="2" s="1"/>
  <c r="F18" i="19" l="1"/>
  <c r="J17" i="16"/>
  <c r="D18" i="16" s="1"/>
  <c r="G18" i="18"/>
  <c r="J18" i="18"/>
  <c r="H18" i="18" s="1"/>
  <c r="E19" i="15"/>
  <c r="G19" i="15"/>
  <c r="J19" i="15"/>
  <c r="L19" i="15"/>
  <c r="E21" i="13"/>
  <c r="F21" i="13"/>
  <c r="J20" i="3"/>
  <c r="D20" i="2"/>
  <c r="L20" i="3"/>
  <c r="M20" i="3" s="1"/>
  <c r="D21" i="3" s="1"/>
  <c r="N20" i="3"/>
  <c r="C21" i="3" s="1"/>
  <c r="I26" i="6"/>
  <c r="C27" i="6" s="1"/>
  <c r="G18" i="19" l="1"/>
  <c r="J18" i="19"/>
  <c r="L18" i="19"/>
  <c r="C19" i="18"/>
  <c r="K18" i="18"/>
  <c r="I18" i="18" s="1"/>
  <c r="G18" i="16"/>
  <c r="E18" i="16"/>
  <c r="F18" i="16" s="1"/>
  <c r="H19" i="15"/>
  <c r="C20" i="15" s="1"/>
  <c r="M19" i="15"/>
  <c r="K19" i="15"/>
  <c r="J21" i="13"/>
  <c r="H21" i="13"/>
  <c r="C22" i="13" s="1"/>
  <c r="G21" i="13"/>
  <c r="E20" i="2"/>
  <c r="G21" i="3"/>
  <c r="E21" i="3"/>
  <c r="I21" i="3"/>
  <c r="F27" i="6"/>
  <c r="G27" i="6" s="1"/>
  <c r="H27" i="6" s="1"/>
  <c r="D28" i="6" s="1"/>
  <c r="E27" i="6"/>
  <c r="F20" i="2"/>
  <c r="H20" i="2" s="1"/>
  <c r="H18" i="19" l="1"/>
  <c r="C19" i="19" s="1"/>
  <c r="M18" i="19"/>
  <c r="K18" i="19"/>
  <c r="D19" i="18"/>
  <c r="H18" i="16"/>
  <c r="M18" i="16"/>
  <c r="K18" i="16"/>
  <c r="I19" i="15"/>
  <c r="D20" i="15" s="1"/>
  <c r="E20" i="15" s="1"/>
  <c r="K21" i="13"/>
  <c r="I21" i="13"/>
  <c r="D22" i="13" s="1"/>
  <c r="C21" i="2"/>
  <c r="F21" i="3"/>
  <c r="J21" i="3" s="1"/>
  <c r="K21" i="3"/>
  <c r="I27" i="6"/>
  <c r="C28" i="6" s="1"/>
  <c r="G20" i="2"/>
  <c r="I20" i="2" s="1"/>
  <c r="I18" i="19" l="1"/>
  <c r="D19" i="19" s="1"/>
  <c r="I18" i="16"/>
  <c r="C19" i="16" s="1"/>
  <c r="E19" i="18"/>
  <c r="F19" i="18"/>
  <c r="N18" i="16"/>
  <c r="L18" i="16"/>
  <c r="F20" i="15"/>
  <c r="J20" i="15" s="1"/>
  <c r="F22" i="13"/>
  <c r="E22" i="13"/>
  <c r="H21" i="3"/>
  <c r="D21" i="2"/>
  <c r="L21" i="3"/>
  <c r="M21" i="3" s="1"/>
  <c r="D22" i="3" s="1"/>
  <c r="N21" i="3"/>
  <c r="C22" i="3" s="1"/>
  <c r="F28" i="6"/>
  <c r="G28" i="6" s="1"/>
  <c r="H28" i="6" s="1"/>
  <c r="D29" i="6" s="1"/>
  <c r="E28" i="6"/>
  <c r="F19" i="19" l="1"/>
  <c r="E19" i="19"/>
  <c r="J18" i="16"/>
  <c r="D19" i="16" s="1"/>
  <c r="G19" i="18"/>
  <c r="J19" i="18"/>
  <c r="H19" i="18" s="1"/>
  <c r="L20" i="15"/>
  <c r="H20" i="15" s="1"/>
  <c r="C21" i="15" s="1"/>
  <c r="G20" i="15"/>
  <c r="J22" i="13"/>
  <c r="G22" i="13"/>
  <c r="H22" i="13"/>
  <c r="C23" i="13" s="1"/>
  <c r="E21" i="2"/>
  <c r="G22" i="3"/>
  <c r="E22" i="3"/>
  <c r="I22" i="3"/>
  <c r="I28" i="6"/>
  <c r="C29" i="6" s="1"/>
  <c r="F21" i="2"/>
  <c r="H21" i="2" s="1"/>
  <c r="G19" i="19" l="1"/>
  <c r="L19" i="19"/>
  <c r="J19" i="19"/>
  <c r="C20" i="18"/>
  <c r="K19" i="18"/>
  <c r="I19" i="18" s="1"/>
  <c r="G19" i="16"/>
  <c r="E19" i="16"/>
  <c r="F19" i="16" s="1"/>
  <c r="M20" i="15"/>
  <c r="K20" i="15"/>
  <c r="K22" i="13"/>
  <c r="I22" i="13"/>
  <c r="D23" i="13" s="1"/>
  <c r="C22" i="2"/>
  <c r="F22" i="3"/>
  <c r="J22" i="3" s="1"/>
  <c r="K22" i="3"/>
  <c r="F29" i="6"/>
  <c r="G29" i="6" s="1"/>
  <c r="H29" i="6" s="1"/>
  <c r="D30" i="6" s="1"/>
  <c r="E29" i="6"/>
  <c r="G21" i="2"/>
  <c r="I21" i="2" s="1"/>
  <c r="H19" i="19" l="1"/>
  <c r="C20" i="19" s="1"/>
  <c r="M19" i="19"/>
  <c r="K19" i="19"/>
  <c r="D20" i="18"/>
  <c r="H19" i="16"/>
  <c r="K19" i="16"/>
  <c r="M19" i="16"/>
  <c r="I20" i="15"/>
  <c r="D21" i="15" s="1"/>
  <c r="E21" i="15" s="1"/>
  <c r="F23" i="13"/>
  <c r="E23" i="13"/>
  <c r="H22" i="3"/>
  <c r="D22" i="2"/>
  <c r="L22" i="3"/>
  <c r="M22" i="3" s="1"/>
  <c r="D23" i="3" s="1"/>
  <c r="N22" i="3"/>
  <c r="C23" i="3" s="1"/>
  <c r="I29" i="6"/>
  <c r="C30" i="6" s="1"/>
  <c r="I19" i="19" l="1"/>
  <c r="D20" i="19" s="1"/>
  <c r="E20" i="19" s="1"/>
  <c r="I19" i="16"/>
  <c r="C20" i="16" s="1"/>
  <c r="F20" i="18"/>
  <c r="E20" i="18"/>
  <c r="N19" i="16"/>
  <c r="L19" i="16"/>
  <c r="F21" i="15"/>
  <c r="G21" i="15" s="1"/>
  <c r="J23" i="13"/>
  <c r="G23" i="13"/>
  <c r="H23" i="13"/>
  <c r="C24" i="13" s="1"/>
  <c r="E22" i="2"/>
  <c r="G23" i="3"/>
  <c r="E23" i="3"/>
  <c r="I23" i="3"/>
  <c r="E30" i="6"/>
  <c r="F30" i="6"/>
  <c r="G30" i="6" s="1"/>
  <c r="H30" i="6" s="1"/>
  <c r="D31" i="6" s="1"/>
  <c r="F22" i="2"/>
  <c r="H22" i="2" s="1"/>
  <c r="F20" i="19" l="1"/>
  <c r="J19" i="16"/>
  <c r="D20" i="16" s="1"/>
  <c r="G20" i="18"/>
  <c r="J20" i="18"/>
  <c r="H20" i="18" s="1"/>
  <c r="J21" i="15"/>
  <c r="L21" i="15"/>
  <c r="K21" i="15"/>
  <c r="M21" i="15"/>
  <c r="K23" i="13"/>
  <c r="I23" i="13"/>
  <c r="D24" i="13" s="1"/>
  <c r="C23" i="2"/>
  <c r="F23" i="3"/>
  <c r="J23" i="3" s="1"/>
  <c r="K23" i="3"/>
  <c r="I30" i="6"/>
  <c r="C31" i="6" s="1"/>
  <c r="G22" i="2"/>
  <c r="I22" i="2" s="1"/>
  <c r="G20" i="19" l="1"/>
  <c r="J20" i="19"/>
  <c r="L20" i="19"/>
  <c r="C21" i="18"/>
  <c r="K20" i="18"/>
  <c r="I20" i="18" s="1"/>
  <c r="G20" i="16"/>
  <c r="E20" i="16"/>
  <c r="F20" i="16" s="1"/>
  <c r="H21" i="15"/>
  <c r="C22" i="15" s="1"/>
  <c r="I21" i="15"/>
  <c r="D22" i="15" s="1"/>
  <c r="E24" i="13"/>
  <c r="F24" i="13"/>
  <c r="H23" i="3"/>
  <c r="D23" i="2"/>
  <c r="L23" i="3"/>
  <c r="M23" i="3" s="1"/>
  <c r="D24" i="3" s="1"/>
  <c r="N23" i="3"/>
  <c r="C24" i="3" s="1"/>
  <c r="F31" i="6"/>
  <c r="G31" i="6" s="1"/>
  <c r="H31" i="6" s="1"/>
  <c r="D32" i="6" s="1"/>
  <c r="E31" i="6"/>
  <c r="H20" i="19" l="1"/>
  <c r="C21" i="19" s="1"/>
  <c r="M20" i="19"/>
  <c r="K20" i="19"/>
  <c r="D21" i="18"/>
  <c r="H20" i="16"/>
  <c r="M20" i="16"/>
  <c r="K20" i="16"/>
  <c r="F22" i="15"/>
  <c r="E22" i="15"/>
  <c r="J24" i="13"/>
  <c r="G24" i="13"/>
  <c r="H24" i="13"/>
  <c r="C25" i="13" s="1"/>
  <c r="E23" i="2"/>
  <c r="G24" i="3"/>
  <c r="E24" i="3"/>
  <c r="I24" i="3"/>
  <c r="I31" i="6"/>
  <c r="C32" i="6" s="1"/>
  <c r="E32" i="6" s="1"/>
  <c r="F23" i="2"/>
  <c r="H23" i="2" s="1"/>
  <c r="I20" i="19" l="1"/>
  <c r="D21" i="19" s="1"/>
  <c r="E21" i="19" s="1"/>
  <c r="I20" i="16"/>
  <c r="C21" i="16" s="1"/>
  <c r="E21" i="18"/>
  <c r="F21" i="18"/>
  <c r="N20" i="16"/>
  <c r="L20" i="16"/>
  <c r="G22" i="15"/>
  <c r="M22" i="15" s="1"/>
  <c r="J22" i="15"/>
  <c r="L22" i="15"/>
  <c r="K24" i="13"/>
  <c r="I24" i="13"/>
  <c r="D25" i="13" s="1"/>
  <c r="C24" i="2"/>
  <c r="F24" i="3"/>
  <c r="H24" i="3" s="1"/>
  <c r="K24" i="3"/>
  <c r="F32" i="6"/>
  <c r="G23" i="2"/>
  <c r="I23" i="2" s="1"/>
  <c r="F21" i="19" l="1"/>
  <c r="J20" i="16"/>
  <c r="D21" i="16" s="1"/>
  <c r="G21" i="18"/>
  <c r="J21" i="18"/>
  <c r="H21" i="18" s="1"/>
  <c r="H22" i="15"/>
  <c r="C23" i="15" s="1"/>
  <c r="K22" i="15"/>
  <c r="I22" i="15" s="1"/>
  <c r="D23" i="15" s="1"/>
  <c r="E25" i="13"/>
  <c r="F25" i="13"/>
  <c r="J24" i="3"/>
  <c r="I32" i="6"/>
  <c r="F33" i="6"/>
  <c r="D24" i="2"/>
  <c r="L24" i="3"/>
  <c r="M24" i="3" s="1"/>
  <c r="D25" i="3" s="1"/>
  <c r="N24" i="3"/>
  <c r="C25" i="3" s="1"/>
  <c r="G32" i="6"/>
  <c r="G21" i="19" l="1"/>
  <c r="L21" i="19"/>
  <c r="J21" i="19"/>
  <c r="C22" i="18"/>
  <c r="K21" i="18"/>
  <c r="I21" i="18" s="1"/>
  <c r="G21" i="16"/>
  <c r="E21" i="16"/>
  <c r="F21" i="16" s="1"/>
  <c r="F23" i="15"/>
  <c r="E23" i="15"/>
  <c r="J25" i="13"/>
  <c r="H25" i="13"/>
  <c r="C26" i="13" s="1"/>
  <c r="G25" i="13"/>
  <c r="H32" i="6"/>
  <c r="G33" i="6"/>
  <c r="H33" i="6" s="1"/>
  <c r="G25" i="3"/>
  <c r="E25" i="3"/>
  <c r="I25" i="3"/>
  <c r="E24" i="2"/>
  <c r="F24" i="2"/>
  <c r="H24" i="2" s="1"/>
  <c r="H21" i="19" l="1"/>
  <c r="C22" i="19" s="1"/>
  <c r="M21" i="19"/>
  <c r="K21" i="19"/>
  <c r="D22" i="18"/>
  <c r="H21" i="16"/>
  <c r="M21" i="16"/>
  <c r="K21" i="16"/>
  <c r="J23" i="15"/>
  <c r="G23" i="15"/>
  <c r="L23" i="15"/>
  <c r="K25" i="13"/>
  <c r="I25" i="13"/>
  <c r="D26" i="13" s="1"/>
  <c r="C25" i="2"/>
  <c r="F25" i="3"/>
  <c r="J25" i="3" s="1"/>
  <c r="K25" i="3"/>
  <c r="G24" i="2"/>
  <c r="I24" i="2" s="1"/>
  <c r="I21" i="19" l="1"/>
  <c r="D22" i="19" s="1"/>
  <c r="E22" i="19" s="1"/>
  <c r="I21" i="16"/>
  <c r="C22" i="16" s="1"/>
  <c r="E22" i="18"/>
  <c r="F22" i="18"/>
  <c r="N21" i="16"/>
  <c r="L21" i="16"/>
  <c r="M23" i="15"/>
  <c r="H23" i="15"/>
  <c r="C24" i="15" s="1"/>
  <c r="K23" i="15"/>
  <c r="E26" i="13"/>
  <c r="F26" i="13"/>
  <c r="D25" i="2"/>
  <c r="L25" i="3"/>
  <c r="M25" i="3" s="1"/>
  <c r="D26" i="3" s="1"/>
  <c r="N25" i="3"/>
  <c r="C26" i="3" s="1"/>
  <c r="H25" i="3"/>
  <c r="F22" i="19" l="1"/>
  <c r="J21" i="16"/>
  <c r="D22" i="16" s="1"/>
  <c r="G22" i="18"/>
  <c r="J22" i="18"/>
  <c r="H22" i="18" s="1"/>
  <c r="I23" i="15"/>
  <c r="D24" i="15" s="1"/>
  <c r="E24" i="15" s="1"/>
  <c r="J26" i="13"/>
  <c r="H26" i="13"/>
  <c r="C27" i="13" s="1"/>
  <c r="G26" i="13"/>
  <c r="E25" i="2"/>
  <c r="G26" i="3"/>
  <c r="E26" i="3"/>
  <c r="I26" i="3"/>
  <c r="F25" i="2"/>
  <c r="H25" i="2" s="1"/>
  <c r="G22" i="19" l="1"/>
  <c r="J22" i="19"/>
  <c r="L22" i="19"/>
  <c r="E22" i="16"/>
  <c r="F22" i="16" s="1"/>
  <c r="C23" i="18"/>
  <c r="K22" i="18"/>
  <c r="I22" i="18" s="1"/>
  <c r="G22" i="16"/>
  <c r="F24" i="15"/>
  <c r="K26" i="13"/>
  <c r="I26" i="13"/>
  <c r="D27" i="13" s="1"/>
  <c r="C26" i="2"/>
  <c r="F26" i="3"/>
  <c r="J26" i="3" s="1"/>
  <c r="K26" i="3"/>
  <c r="G25" i="2"/>
  <c r="I25" i="2" s="1"/>
  <c r="H22" i="19" l="1"/>
  <c r="C23" i="19" s="1"/>
  <c r="M22" i="19"/>
  <c r="K22" i="19"/>
  <c r="D23" i="18"/>
  <c r="H22" i="16"/>
  <c r="K22" i="16"/>
  <c r="M22" i="16"/>
  <c r="L24" i="15"/>
  <c r="G24" i="15"/>
  <c r="M24" i="15" s="1"/>
  <c r="J24" i="15"/>
  <c r="E27" i="13"/>
  <c r="F27" i="13"/>
  <c r="H26" i="3"/>
  <c r="D26" i="2"/>
  <c r="L26" i="3"/>
  <c r="M26" i="3" s="1"/>
  <c r="D27" i="3" s="1"/>
  <c r="N26" i="3"/>
  <c r="C27" i="3" s="1"/>
  <c r="I22" i="19" l="1"/>
  <c r="D23" i="19" s="1"/>
  <c r="E23" i="19" s="1"/>
  <c r="I22" i="16"/>
  <c r="C23" i="16" s="1"/>
  <c r="E23" i="18"/>
  <c r="F23" i="18"/>
  <c r="L22" i="16"/>
  <c r="N22" i="16"/>
  <c r="K24" i="15"/>
  <c r="I24" i="15" s="1"/>
  <c r="D25" i="15" s="1"/>
  <c r="H24" i="15"/>
  <c r="C25" i="15" s="1"/>
  <c r="J27" i="13"/>
  <c r="G27" i="13"/>
  <c r="H27" i="13"/>
  <c r="C28" i="13" s="1"/>
  <c r="E26" i="2"/>
  <c r="E27" i="3"/>
  <c r="G27" i="3"/>
  <c r="I27" i="3"/>
  <c r="F26" i="2"/>
  <c r="H26" i="2" s="1"/>
  <c r="F23" i="19" l="1"/>
  <c r="J22" i="16"/>
  <c r="D23" i="16" s="1"/>
  <c r="G23" i="18"/>
  <c r="J23" i="18"/>
  <c r="H23" i="18" s="1"/>
  <c r="E25" i="15"/>
  <c r="F25" i="15"/>
  <c r="K27" i="13"/>
  <c r="I27" i="13"/>
  <c r="D28" i="13" s="1"/>
  <c r="C27" i="2"/>
  <c r="F27" i="3"/>
  <c r="J27" i="3" s="1"/>
  <c r="K27" i="3"/>
  <c r="G26" i="2"/>
  <c r="I26" i="2" s="1"/>
  <c r="G23" i="19" l="1"/>
  <c r="L23" i="19"/>
  <c r="J23" i="19"/>
  <c r="C24" i="18"/>
  <c r="K23" i="18"/>
  <c r="I23" i="18" s="1"/>
  <c r="G23" i="16"/>
  <c r="E23" i="16"/>
  <c r="F23" i="16" s="1"/>
  <c r="J25" i="15"/>
  <c r="L25" i="15"/>
  <c r="G25" i="15"/>
  <c r="M25" i="15" s="1"/>
  <c r="F28" i="13"/>
  <c r="E28" i="13"/>
  <c r="D27" i="2"/>
  <c r="L27" i="3"/>
  <c r="M27" i="3" s="1"/>
  <c r="D28" i="3" s="1"/>
  <c r="N27" i="3"/>
  <c r="C28" i="3" s="1"/>
  <c r="H27" i="3"/>
  <c r="M23" i="19" l="1"/>
  <c r="K23" i="19"/>
  <c r="H23" i="19"/>
  <c r="C24" i="19" s="1"/>
  <c r="D24" i="18"/>
  <c r="H23" i="16"/>
  <c r="M23" i="16"/>
  <c r="K23" i="16"/>
  <c r="H25" i="15"/>
  <c r="C26" i="15" s="1"/>
  <c r="K25" i="15"/>
  <c r="I25" i="15" s="1"/>
  <c r="D26" i="15" s="1"/>
  <c r="J28" i="13"/>
  <c r="G28" i="13"/>
  <c r="H28" i="13"/>
  <c r="C29" i="13" s="1"/>
  <c r="E27" i="2"/>
  <c r="G28" i="3"/>
  <c r="E28" i="3"/>
  <c r="I28" i="3"/>
  <c r="F27" i="2"/>
  <c r="H27" i="2" s="1"/>
  <c r="I23" i="19" l="1"/>
  <c r="D24" i="19" s="1"/>
  <c r="I23" i="16"/>
  <c r="C24" i="16" s="1"/>
  <c r="F24" i="18"/>
  <c r="E24" i="18"/>
  <c r="N23" i="16"/>
  <c r="L23" i="16"/>
  <c r="F26" i="15"/>
  <c r="E26" i="15"/>
  <c r="K28" i="13"/>
  <c r="I28" i="13"/>
  <c r="D29" i="13" s="1"/>
  <c r="C28" i="2"/>
  <c r="F28" i="3"/>
  <c r="H28" i="3" s="1"/>
  <c r="K28" i="3"/>
  <c r="G27" i="2"/>
  <c r="I27" i="2" s="1"/>
  <c r="F24" i="19" l="1"/>
  <c r="E24" i="19"/>
  <c r="J23" i="16"/>
  <c r="D24" i="16" s="1"/>
  <c r="G24" i="18"/>
  <c r="J24" i="18"/>
  <c r="H24" i="18" s="1"/>
  <c r="G26" i="15"/>
  <c r="L26" i="15"/>
  <c r="J26" i="15"/>
  <c r="F29" i="13"/>
  <c r="E29" i="13"/>
  <c r="J28" i="3"/>
  <c r="D28" i="2"/>
  <c r="L28" i="3"/>
  <c r="M28" i="3" s="1"/>
  <c r="D29" i="3" s="1"/>
  <c r="N28" i="3"/>
  <c r="C29" i="3" s="1"/>
  <c r="G24" i="19" l="1"/>
  <c r="L24" i="19"/>
  <c r="J24" i="19"/>
  <c r="C25" i="18"/>
  <c r="K24" i="18"/>
  <c r="I24" i="18" s="1"/>
  <c r="G24" i="16"/>
  <c r="E24" i="16"/>
  <c r="F24" i="16" s="1"/>
  <c r="M26" i="15"/>
  <c r="K26" i="15"/>
  <c r="H26" i="15"/>
  <c r="C27" i="15" s="1"/>
  <c r="J29" i="13"/>
  <c r="G29" i="13"/>
  <c r="H29" i="13"/>
  <c r="C30" i="13" s="1"/>
  <c r="E28" i="2"/>
  <c r="G29" i="3"/>
  <c r="E29" i="3"/>
  <c r="I29" i="3"/>
  <c r="F28" i="2"/>
  <c r="H28" i="2" s="1"/>
  <c r="H24" i="19" l="1"/>
  <c r="C25" i="19" s="1"/>
  <c r="M24" i="19"/>
  <c r="K24" i="19"/>
  <c r="D25" i="18"/>
  <c r="H24" i="16"/>
  <c r="M24" i="16"/>
  <c r="K24" i="16"/>
  <c r="I26" i="15"/>
  <c r="D27" i="15" s="1"/>
  <c r="E27" i="15" s="1"/>
  <c r="K29" i="13"/>
  <c r="I29" i="13"/>
  <c r="D30" i="13" s="1"/>
  <c r="C29" i="2"/>
  <c r="F29" i="3"/>
  <c r="J29" i="3" s="1"/>
  <c r="K29" i="3"/>
  <c r="G28" i="2"/>
  <c r="I28" i="2" s="1"/>
  <c r="I24" i="19" l="1"/>
  <c r="D25" i="19" s="1"/>
  <c r="I24" i="16"/>
  <c r="C25" i="16" s="1"/>
  <c r="F25" i="18"/>
  <c r="E25" i="18"/>
  <c r="N24" i="16"/>
  <c r="L24" i="16"/>
  <c r="F27" i="15"/>
  <c r="G27" i="15" s="1"/>
  <c r="M27" i="15" s="1"/>
  <c r="F30" i="13"/>
  <c r="E30" i="13"/>
  <c r="H29" i="3"/>
  <c r="D29" i="2"/>
  <c r="L29" i="3"/>
  <c r="M29" i="3" s="1"/>
  <c r="D30" i="3" s="1"/>
  <c r="N29" i="3"/>
  <c r="C30" i="3" s="1"/>
  <c r="F25" i="19" l="1"/>
  <c r="E25" i="19"/>
  <c r="J24" i="16"/>
  <c r="D25" i="16" s="1"/>
  <c r="G25" i="18"/>
  <c r="J25" i="18"/>
  <c r="H25" i="18" s="1"/>
  <c r="J27" i="15"/>
  <c r="K27" i="15"/>
  <c r="I27" i="15" s="1"/>
  <c r="D28" i="15" s="1"/>
  <c r="L27" i="15"/>
  <c r="J30" i="13"/>
  <c r="H30" i="13"/>
  <c r="C31" i="13" s="1"/>
  <c r="G30" i="13"/>
  <c r="E29" i="2"/>
  <c r="G30" i="3"/>
  <c r="E30" i="3"/>
  <c r="I30" i="3"/>
  <c r="F29" i="2"/>
  <c r="H29" i="2" s="1"/>
  <c r="G25" i="19" l="1"/>
  <c r="J25" i="19"/>
  <c r="L25" i="19"/>
  <c r="C26" i="18"/>
  <c r="K25" i="18"/>
  <c r="I25" i="18" s="1"/>
  <c r="G25" i="16"/>
  <c r="E25" i="16"/>
  <c r="F25" i="16" s="1"/>
  <c r="H27" i="15"/>
  <c r="C28" i="15" s="1"/>
  <c r="F28" i="15" s="1"/>
  <c r="K30" i="13"/>
  <c r="I30" i="13"/>
  <c r="D31" i="13" s="1"/>
  <c r="C30" i="2"/>
  <c r="F30" i="3"/>
  <c r="J30" i="3" s="1"/>
  <c r="K30" i="3"/>
  <c r="G29" i="2"/>
  <c r="I29" i="2" s="1"/>
  <c r="H25" i="19" l="1"/>
  <c r="C26" i="19" s="1"/>
  <c r="M25" i="19"/>
  <c r="K25" i="19"/>
  <c r="D26" i="18"/>
  <c r="H25" i="16"/>
  <c r="K25" i="16"/>
  <c r="M25" i="16"/>
  <c r="L28" i="15"/>
  <c r="G28" i="15"/>
  <c r="J28" i="15"/>
  <c r="E28" i="15"/>
  <c r="F31" i="13"/>
  <c r="E31" i="13"/>
  <c r="H30" i="3"/>
  <c r="D30" i="2"/>
  <c r="L30" i="3"/>
  <c r="M30" i="3" s="1"/>
  <c r="D31" i="3" s="1"/>
  <c r="N30" i="3"/>
  <c r="C31" i="3" s="1"/>
  <c r="I25" i="19" l="1"/>
  <c r="D26" i="19" s="1"/>
  <c r="I25" i="16"/>
  <c r="C26" i="16" s="1"/>
  <c r="E26" i="18"/>
  <c r="F26" i="18"/>
  <c r="L25" i="16"/>
  <c r="N25" i="16"/>
  <c r="K28" i="15"/>
  <c r="M28" i="15"/>
  <c r="H28" i="15"/>
  <c r="C29" i="15" s="1"/>
  <c r="J31" i="13"/>
  <c r="G31" i="13"/>
  <c r="H31" i="13"/>
  <c r="C32" i="13" s="1"/>
  <c r="E30" i="2"/>
  <c r="G31" i="3"/>
  <c r="E31" i="3"/>
  <c r="I31" i="3"/>
  <c r="F30" i="2"/>
  <c r="H30" i="2" s="1"/>
  <c r="F26" i="19" l="1"/>
  <c r="E26" i="19"/>
  <c r="J25" i="16"/>
  <c r="D26" i="16" s="1"/>
  <c r="G26" i="18"/>
  <c r="J26" i="18"/>
  <c r="H26" i="18" s="1"/>
  <c r="I28" i="15"/>
  <c r="D29" i="15" s="1"/>
  <c r="F29" i="15" s="1"/>
  <c r="K31" i="13"/>
  <c r="I31" i="13"/>
  <c r="D32" i="13" s="1"/>
  <c r="E32" i="13" s="1"/>
  <c r="C31" i="2"/>
  <c r="F31" i="3"/>
  <c r="H31" i="3" s="1"/>
  <c r="K31" i="3"/>
  <c r="G30" i="2"/>
  <c r="I30" i="2" s="1"/>
  <c r="G26" i="19" l="1"/>
  <c r="J26" i="19"/>
  <c r="L26" i="19"/>
  <c r="C27" i="18"/>
  <c r="K26" i="18"/>
  <c r="I26" i="18" s="1"/>
  <c r="G26" i="16"/>
  <c r="E26" i="16"/>
  <c r="F26" i="16" s="1"/>
  <c r="E29" i="15"/>
  <c r="J29" i="15"/>
  <c r="L29" i="15"/>
  <c r="G29" i="15"/>
  <c r="K29" i="15" s="1"/>
  <c r="F32" i="13"/>
  <c r="J31" i="3"/>
  <c r="D31" i="2"/>
  <c r="L31" i="3"/>
  <c r="M31" i="3" s="1"/>
  <c r="D32" i="3" s="1"/>
  <c r="N31" i="3"/>
  <c r="C32" i="3" s="1"/>
  <c r="H26" i="19" l="1"/>
  <c r="C27" i="19" s="1"/>
  <c r="M26" i="19"/>
  <c r="K26" i="19"/>
  <c r="D27" i="18"/>
  <c r="H29" i="15"/>
  <c r="C30" i="15" s="1"/>
  <c r="H26" i="16"/>
  <c r="M26" i="16"/>
  <c r="K26" i="16"/>
  <c r="M29" i="15"/>
  <c r="I29" i="15" s="1"/>
  <c r="D30" i="15" s="1"/>
  <c r="J32" i="13"/>
  <c r="G32" i="13"/>
  <c r="H32" i="13"/>
  <c r="E31" i="2"/>
  <c r="G32" i="3"/>
  <c r="E32" i="3"/>
  <c r="I32" i="3"/>
  <c r="F31" i="2"/>
  <c r="H31" i="2" s="1"/>
  <c r="I26" i="19" l="1"/>
  <c r="D27" i="19" s="1"/>
  <c r="E27" i="19" s="1"/>
  <c r="I26" i="16"/>
  <c r="C27" i="16" s="1"/>
  <c r="E27" i="18"/>
  <c r="F27" i="18"/>
  <c r="N26" i="16"/>
  <c r="L26" i="16"/>
  <c r="F30" i="15"/>
  <c r="E30" i="15"/>
  <c r="K32" i="13"/>
  <c r="I32" i="13"/>
  <c r="C32" i="2"/>
  <c r="F32" i="3"/>
  <c r="F33" i="3" s="1"/>
  <c r="K32" i="3"/>
  <c r="G31" i="2"/>
  <c r="I31" i="2" s="1"/>
  <c r="F27" i="19" l="1"/>
  <c r="J26" i="16"/>
  <c r="D27" i="16" s="1"/>
  <c r="G27" i="18"/>
  <c r="J27" i="18"/>
  <c r="H27" i="18" s="1"/>
  <c r="J30" i="15"/>
  <c r="G30" i="15"/>
  <c r="L30" i="15"/>
  <c r="J32" i="3"/>
  <c r="H32" i="3"/>
  <c r="D32" i="2"/>
  <c r="L32" i="3"/>
  <c r="K33" i="3"/>
  <c r="N32" i="3"/>
  <c r="G27" i="19" l="1"/>
  <c r="J27" i="19"/>
  <c r="L27" i="19"/>
  <c r="E27" i="16"/>
  <c r="F27" i="16" s="1"/>
  <c r="C28" i="18"/>
  <c r="K27" i="18"/>
  <c r="I27" i="18" s="1"/>
  <c r="G27" i="16"/>
  <c r="M30" i="15"/>
  <c r="K30" i="15"/>
  <c r="H30" i="15"/>
  <c r="C31" i="15" s="1"/>
  <c r="E32" i="2"/>
  <c r="L33" i="3"/>
  <c r="M32" i="3"/>
  <c r="F32" i="2"/>
  <c r="H32" i="2" l="1"/>
  <c r="F33" i="2"/>
  <c r="H27" i="19"/>
  <c r="C28" i="19" s="1"/>
  <c r="M27" i="19"/>
  <c r="K27" i="19"/>
  <c r="D28" i="18"/>
  <c r="H27" i="16"/>
  <c r="K27" i="16"/>
  <c r="M27" i="16"/>
  <c r="I30" i="15"/>
  <c r="D31" i="15" s="1"/>
  <c r="G32" i="2"/>
  <c r="I32" i="2" s="1"/>
  <c r="I27" i="19" l="1"/>
  <c r="D28" i="19" s="1"/>
  <c r="E28" i="19" s="1"/>
  <c r="I27" i="16"/>
  <c r="C28" i="16" s="1"/>
  <c r="E28" i="18"/>
  <c r="F28" i="18"/>
  <c r="N27" i="16"/>
  <c r="L27" i="16"/>
  <c r="E31" i="15"/>
  <c r="F31" i="15"/>
  <c r="G33" i="2"/>
  <c r="F28" i="19" l="1"/>
  <c r="J27" i="16"/>
  <c r="D28" i="16" s="1"/>
  <c r="G28" i="18"/>
  <c r="J28" i="18"/>
  <c r="H28" i="18" s="1"/>
  <c r="G31" i="15"/>
  <c r="L31" i="15"/>
  <c r="J31" i="15"/>
  <c r="G28" i="19" l="1"/>
  <c r="J28" i="19"/>
  <c r="L28" i="19"/>
  <c r="C29" i="18"/>
  <c r="K28" i="18"/>
  <c r="I28" i="18" s="1"/>
  <c r="G28" i="16"/>
  <c r="E28" i="16"/>
  <c r="F28" i="16" s="1"/>
  <c r="H31" i="15"/>
  <c r="C32" i="15" s="1"/>
  <c r="K31" i="15"/>
  <c r="M31" i="15"/>
  <c r="H28" i="19" l="1"/>
  <c r="C29" i="19" s="1"/>
  <c r="M28" i="19"/>
  <c r="K28" i="19"/>
  <c r="D29" i="18"/>
  <c r="H28" i="16"/>
  <c r="M28" i="16"/>
  <c r="K28" i="16"/>
  <c r="I31" i="15"/>
  <c r="D32" i="15" s="1"/>
  <c r="F32" i="15" s="1"/>
  <c r="J32" i="15" s="1"/>
  <c r="I28" i="19" l="1"/>
  <c r="D29" i="19" s="1"/>
  <c r="E29" i="19" s="1"/>
  <c r="I28" i="16"/>
  <c r="C29" i="16" s="1"/>
  <c r="F29" i="18"/>
  <c r="E29" i="18"/>
  <c r="N28" i="16"/>
  <c r="L28" i="16"/>
  <c r="E32" i="15"/>
  <c r="G32" i="15"/>
  <c r="K32" i="15" s="1"/>
  <c r="L32" i="15"/>
  <c r="H32" i="15" s="1"/>
  <c r="F29" i="19" l="1"/>
  <c r="J28" i="16"/>
  <c r="D29" i="16" s="1"/>
  <c r="G29" i="18"/>
  <c r="J29" i="18"/>
  <c r="H29" i="18" s="1"/>
  <c r="M32" i="15"/>
  <c r="I32" i="15" s="1"/>
  <c r="G29" i="19" l="1"/>
  <c r="J29" i="19"/>
  <c r="L29" i="19"/>
  <c r="C30" i="18"/>
  <c r="K29" i="18"/>
  <c r="I29" i="18" s="1"/>
  <c r="G29" i="16"/>
  <c r="E29" i="16"/>
  <c r="F29" i="16" s="1"/>
  <c r="H29" i="19" l="1"/>
  <c r="C30" i="19" s="1"/>
  <c r="M29" i="19"/>
  <c r="K29" i="19"/>
  <c r="D30" i="18"/>
  <c r="H29" i="16"/>
  <c r="K29" i="16"/>
  <c r="M29" i="16"/>
  <c r="I29" i="19" l="1"/>
  <c r="D30" i="19" s="1"/>
  <c r="E30" i="19" s="1"/>
  <c r="I29" i="16"/>
  <c r="C30" i="16" s="1"/>
  <c r="E30" i="18"/>
  <c r="F30" i="18"/>
  <c r="L29" i="16"/>
  <c r="N29" i="16"/>
  <c r="F30" i="19" l="1"/>
  <c r="J29" i="16"/>
  <c r="D30" i="16" s="1"/>
  <c r="G30" i="18"/>
  <c r="J30" i="18"/>
  <c r="H30" i="18" s="1"/>
  <c r="G30" i="19" l="1"/>
  <c r="L30" i="19"/>
  <c r="J30" i="19"/>
  <c r="C31" i="18"/>
  <c r="K30" i="18"/>
  <c r="I30" i="18" s="1"/>
  <c r="G30" i="16"/>
  <c r="E30" i="16"/>
  <c r="F30" i="16" s="1"/>
  <c r="H30" i="19" l="1"/>
  <c r="C31" i="19" s="1"/>
  <c r="M30" i="19"/>
  <c r="K30" i="19"/>
  <c r="D31" i="18"/>
  <c r="H30" i="16"/>
  <c r="M30" i="16"/>
  <c r="K30" i="16"/>
  <c r="I30" i="19" l="1"/>
  <c r="D31" i="19" s="1"/>
  <c r="E31" i="19" s="1"/>
  <c r="I30" i="16"/>
  <c r="C31" i="16" s="1"/>
  <c r="E31" i="18"/>
  <c r="F31" i="18"/>
  <c r="N30" i="16"/>
  <c r="L30" i="16"/>
  <c r="F31" i="19" l="1"/>
  <c r="J30" i="16"/>
  <c r="D31" i="16" s="1"/>
  <c r="G31" i="18"/>
  <c r="J31" i="18"/>
  <c r="H31" i="18" s="1"/>
  <c r="G31" i="19" l="1"/>
  <c r="J31" i="19"/>
  <c r="L31" i="19"/>
  <c r="C32" i="18"/>
  <c r="K31" i="18"/>
  <c r="I31" i="18" s="1"/>
  <c r="G31" i="16"/>
  <c r="E31" i="16"/>
  <c r="F31" i="16" s="1"/>
  <c r="H31" i="19" l="1"/>
  <c r="C32" i="19" s="1"/>
  <c r="M31" i="19"/>
  <c r="K31" i="19"/>
  <c r="D32" i="18"/>
  <c r="H31" i="16"/>
  <c r="M31" i="16"/>
  <c r="K31" i="16"/>
  <c r="I31" i="19" l="1"/>
  <c r="D32" i="19" s="1"/>
  <c r="E32" i="19" s="1"/>
  <c r="I31" i="16"/>
  <c r="C32" i="16" s="1"/>
  <c r="F32" i="18"/>
  <c r="E32" i="18"/>
  <c r="N31" i="16"/>
  <c r="L31" i="16"/>
  <c r="F32" i="19" l="1"/>
  <c r="F33" i="19" s="1"/>
  <c r="J31" i="16"/>
  <c r="D32" i="16" s="1"/>
  <c r="G32" i="18"/>
  <c r="J32" i="18"/>
  <c r="H32" i="18" s="1"/>
  <c r="G32" i="19" l="1"/>
  <c r="G33" i="19" s="1"/>
  <c r="J32" i="19"/>
  <c r="L32" i="19"/>
  <c r="E32" i="16"/>
  <c r="F32" i="16" s="1"/>
  <c r="F33" i="16" s="1"/>
  <c r="K32" i="18"/>
  <c r="I32" i="18" s="1"/>
  <c r="G32" i="16"/>
  <c r="N34" i="19" l="1"/>
  <c r="H32" i="19"/>
  <c r="M32" i="19"/>
  <c r="K32" i="19"/>
  <c r="H32" i="16"/>
  <c r="M32" i="16"/>
  <c r="K32" i="16"/>
  <c r="I32" i="19" l="1"/>
  <c r="I32" i="16"/>
  <c r="L32" i="16"/>
  <c r="N32" i="16"/>
  <c r="J32"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C2" authorId="0" shapeId="0" xr:uid="{00000000-0006-0000-0100-00000100000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shapeId="0" xr:uid="{00000000-0006-0000-0100-000002000000}">
      <text>
        <r>
          <rPr>
            <b/>
            <sz val="9"/>
            <color indexed="81"/>
            <rFont val="Tahoma"/>
            <family val="2"/>
          </rPr>
          <t>Rachel Thomas:</t>
        </r>
        <r>
          <rPr>
            <sz val="9"/>
            <color indexed="81"/>
            <rFont val="Tahoma"/>
            <family val="2"/>
          </rPr>
          <t xml:space="preserve">
x values are randomly chosen.  For CNNs, x would be our image data</t>
        </r>
      </text>
    </comment>
    <comment ref="C5" authorId="0" shapeId="0" xr:uid="{00000000-0006-0000-0100-00000300000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Jeremy Howard</author>
    <author>Rachel Thomas</author>
  </authors>
  <commentList>
    <comment ref="C1" authorId="0" shapeId="0" xr:uid="{00000000-0006-0000-0200-00000100000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1" authorId="0" shapeId="0" xr:uid="{00000000-0006-0000-0200-000002000000}">
      <text>
        <r>
          <rPr>
            <b/>
            <sz val="9"/>
            <color indexed="81"/>
            <rFont val="Tahoma"/>
            <family val="2"/>
          </rPr>
          <t>Jeremy Howard:</t>
        </r>
        <r>
          <rPr>
            <sz val="9"/>
            <color indexed="81"/>
            <rFont val="Tahoma"/>
            <family val="2"/>
          </rPr>
          <t xml:space="preserve">
Our learning rate, which defines how quickly we update our guesses</t>
        </r>
      </text>
    </comment>
    <comment ref="A3" authorId="0" shapeId="0" xr:uid="{00000000-0006-0000-0200-00000300000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3" authorId="1" shapeId="0" xr:uid="{00000000-0006-0000-0200-000004000000}">
      <text>
        <r>
          <rPr>
            <b/>
            <sz val="9"/>
            <color indexed="81"/>
            <rFont val="Tahoma"/>
            <family val="2"/>
          </rPr>
          <t>Rachel Thomas:</t>
        </r>
        <r>
          <rPr>
            <sz val="9"/>
            <color indexed="81"/>
            <rFont val="Tahoma"/>
            <family val="2"/>
          </rPr>
          <t xml:space="preserve">
calculating numerically
</t>
        </r>
      </text>
    </comment>
    <comment ref="K3" authorId="1" shapeId="0" xr:uid="{00000000-0006-0000-0200-000005000000}">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4" authorId="0" shapeId="0" xr:uid="{00000000-0006-0000-0200-000006000000}">
      <text>
        <r>
          <rPr>
            <b/>
            <sz val="9"/>
            <color indexed="81"/>
            <rFont val="Tahoma"/>
            <family val="2"/>
          </rPr>
          <t>Jeremy Howard:</t>
        </r>
        <r>
          <rPr>
            <sz val="9"/>
            <color indexed="81"/>
            <rFont val="Tahoma"/>
            <family val="2"/>
          </rPr>
          <t xml:space="preserve">
This is our guess for the first row of data</t>
        </r>
      </text>
    </comment>
    <comment ref="M4" authorId="0" shapeId="0" xr:uid="{00000000-0006-0000-0200-00000700000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shapeId="0" xr:uid="{00000000-0006-0000-0200-00000800000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<sst xmlns="http://schemas.openxmlformats.org/spreadsheetml/2006/main" count="164" uniqueCount="71">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</sst>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9"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4">
    <xf numFmtId="0" fontId="0" fillId="0" borderId="0" xfId="0"/>
    <xf numFmtId="3" fontId="0" fillId="0" borderId="0" xfId="0" applyNumberFormat="1"/>
    <xf numFmtId="0" fontId="1" fillId="0" borderId="0" xfId="0" applyFont="1"/>
    <xf numFmtId="4" fontId="0" fillId="0" borderId="0" xfId="0" applyNumberForma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9525</xdr:rowOff>
        </xdr:from>
        <xdr:to>
          <xdr:col>0</xdr:col>
          <xdr:colOff>466725</xdr:colOff>
          <xdr:row>1</xdr:row>
          <xdr:rowOff>209550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19050</xdr:rowOff>
        </xdr:from>
        <xdr:to>
          <xdr:col>0</xdr:col>
          <xdr:colOff>466725</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8.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35"/>
  <sheetViews>
    <sheetView workbookViewId="0">
      <selection activeCell="A37" sqref="A37"/>
    </sheetView>
  </sheetViews>
  <sheetFormatPr defaultColWidth="9.140625" defaultRowHeight="18.75" x14ac:dyDescent="0.3"/>
  <cols>
    <col min="1" max="1" width="15.7109375" style="13" customWidth="1"/>
    <col min="2" max="2" width="160.28515625" style="14" customWidth="1"/>
    <col min="3" max="16384" width="9.140625" style="13"/>
  </cols>
  <sheetData>
    <row r="1" spans="1:1" x14ac:dyDescent="0.3">
      <c r="A1" s="12" t="s">
        <v>31</v>
      </c>
    </row>
    <row r="2" spans="1:1" x14ac:dyDescent="0.3">
      <c r="A2" s="13" t="s">
        <v>33</v>
      </c>
    </row>
    <row r="3" spans="1:1" x14ac:dyDescent="0.3">
      <c r="A3" s="13" t="s">
        <v>32</v>
      </c>
    </row>
    <row r="5" spans="1:1" x14ac:dyDescent="0.3">
      <c r="A5" s="12" t="s">
        <v>55</v>
      </c>
    </row>
    <row r="6" spans="1:1" x14ac:dyDescent="0.3">
      <c r="A6" s="13" t="s">
        <v>56</v>
      </c>
    </row>
    <row r="7" spans="1:1" x14ac:dyDescent="0.3">
      <c r="A7" s="12"/>
    </row>
    <row r="8" spans="1:1" x14ac:dyDescent="0.3">
      <c r="A8" s="12" t="s">
        <v>51</v>
      </c>
    </row>
    <row r="9" spans="1:1" x14ac:dyDescent="0.3">
      <c r="A9" s="13" t="s">
        <v>53</v>
      </c>
    </row>
    <row r="10" spans="1:1" x14ac:dyDescent="0.3">
      <c r="A10" s="13" t="s">
        <v>54</v>
      </c>
    </row>
    <row r="11" spans="1:1" x14ac:dyDescent="0.3">
      <c r="A11" s="13" t="s">
        <v>52</v>
      </c>
    </row>
    <row r="12" spans="1:1" x14ac:dyDescent="0.3">
      <c r="A12" s="12"/>
    </row>
    <row r="13" spans="1:1" x14ac:dyDescent="0.3">
      <c r="A13" s="13" t="s">
        <v>57</v>
      </c>
    </row>
    <row r="14" spans="1:1" x14ac:dyDescent="0.3">
      <c r="A14" s="13" t="s">
        <v>58</v>
      </c>
    </row>
    <row r="15" spans="1:1" x14ac:dyDescent="0.3">
      <c r="A15" s="12"/>
    </row>
    <row r="16" spans="1:1" ht="19.5" thickBot="1" x14ac:dyDescent="0.35">
      <c r="A16" s="12" t="s">
        <v>42</v>
      </c>
    </row>
    <row r="17" spans="1:2" ht="37.5" x14ac:dyDescent="0.3">
      <c r="A17" s="15" t="s">
        <v>34</v>
      </c>
      <c r="B17" s="16" t="s">
        <v>61</v>
      </c>
    </row>
    <row r="18" spans="1:2" ht="37.5" x14ac:dyDescent="0.3">
      <c r="A18" s="17"/>
      <c r="B18" s="18" t="s">
        <v>35</v>
      </c>
    </row>
    <row r="19" spans="1:2" ht="19.5" thickBot="1" x14ac:dyDescent="0.35">
      <c r="A19" s="19"/>
      <c r="B19" s="20" t="s">
        <v>62</v>
      </c>
    </row>
    <row r="20" spans="1:2" ht="37.5" x14ac:dyDescent="0.3">
      <c r="A20" s="15" t="s">
        <v>36</v>
      </c>
      <c r="B20" s="16" t="s">
        <v>63</v>
      </c>
    </row>
    <row r="21" spans="1:2" ht="38.25" thickBot="1" x14ac:dyDescent="0.35">
      <c r="A21" s="19"/>
      <c r="B21" s="20" t="s">
        <v>38</v>
      </c>
    </row>
    <row r="22" spans="1:2" x14ac:dyDescent="0.3">
      <c r="A22" s="15" t="s">
        <v>39</v>
      </c>
      <c r="B22" s="16" t="s">
        <v>64</v>
      </c>
    </row>
    <row r="23" spans="1:2" ht="19.5" thickBot="1" x14ac:dyDescent="0.35">
      <c r="A23" s="21"/>
      <c r="B23" s="20" t="s">
        <v>65</v>
      </c>
    </row>
    <row r="24" spans="1:2" ht="19.5" thickBot="1" x14ac:dyDescent="0.35">
      <c r="A24" s="22" t="s">
        <v>40</v>
      </c>
      <c r="B24" s="23" t="s">
        <v>66</v>
      </c>
    </row>
    <row r="25" spans="1:2" ht="19.5" thickBot="1" x14ac:dyDescent="0.35">
      <c r="A25" s="22" t="s">
        <v>41</v>
      </c>
      <c r="B25" s="23" t="s">
        <v>67</v>
      </c>
    </row>
    <row r="26" spans="1:2" ht="19.5" thickBot="1" x14ac:dyDescent="0.35">
      <c r="A26" s="22" t="s">
        <v>43</v>
      </c>
      <c r="B26" s="23" t="s">
        <v>44</v>
      </c>
    </row>
    <row r="27" spans="1:2" ht="19.5" thickBot="1" x14ac:dyDescent="0.35">
      <c r="A27" s="22" t="s">
        <v>45</v>
      </c>
      <c r="B27" s="23" t="s">
        <v>68</v>
      </c>
    </row>
    <row r="28" spans="1:2" ht="19.5" thickBot="1" x14ac:dyDescent="0.35">
      <c r="A28" s="22" t="s">
        <v>46</v>
      </c>
      <c r="B28" s="23" t="s">
        <v>47</v>
      </c>
    </row>
    <row r="29" spans="1:2" ht="19.5" thickBot="1" x14ac:dyDescent="0.35">
      <c r="A29" s="22" t="s">
        <v>48</v>
      </c>
      <c r="B29" s="23" t="s">
        <v>49</v>
      </c>
    </row>
    <row r="30" spans="1:2" x14ac:dyDescent="0.3">
      <c r="A30" s="12"/>
    </row>
    <row r="31" spans="1:2" x14ac:dyDescent="0.3">
      <c r="A31" s="12"/>
      <c r="B31" s="14" t="s">
        <v>69</v>
      </c>
    </row>
    <row r="32" spans="1:2" x14ac:dyDescent="0.3">
      <c r="A32" s="12"/>
      <c r="B32" s="14" t="s">
        <v>70</v>
      </c>
    </row>
    <row r="34" spans="1:1" x14ac:dyDescent="0.3">
      <c r="A34" s="12" t="s">
        <v>59</v>
      </c>
    </row>
    <row r="35" spans="1:1" x14ac:dyDescent="0.3">
      <c r="A35" s="12" t="s">
        <v>60</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C34"/>
  <sheetViews>
    <sheetView tabSelected="1" topLeftCell="A3" zoomScale="130" zoomScaleNormal="130" workbookViewId="0">
      <selection activeCell="C7" sqref="C7"/>
    </sheetView>
  </sheetViews>
  <sheetFormatPr defaultRowHeight="15" x14ac:dyDescent="0.25"/>
  <sheetData>
    <row r="1" spans="1:3" x14ac:dyDescent="0.25">
      <c r="A1" t="s">
        <v>50</v>
      </c>
    </row>
    <row r="2" spans="1:3" x14ac:dyDescent="0.25">
      <c r="A2" t="s">
        <v>21</v>
      </c>
      <c r="B2" t="s">
        <v>23</v>
      </c>
      <c r="C2">
        <v>30</v>
      </c>
    </row>
    <row r="3" spans="1:3" x14ac:dyDescent="0.25">
      <c r="A3" t="s">
        <v>22</v>
      </c>
      <c r="B3" t="s">
        <v>0</v>
      </c>
      <c r="C3">
        <v>2</v>
      </c>
    </row>
    <row r="5" spans="1:3" x14ac:dyDescent="0.25">
      <c r="B5" t="s">
        <v>15</v>
      </c>
      <c r="C5" t="s">
        <v>37</v>
      </c>
    </row>
    <row r="6" spans="1:3" x14ac:dyDescent="0.25">
      <c r="B6">
        <f t="shared" ref="B6:B34" ca="1" si="0">RANDBETWEEN(1,100)</f>
        <v>84</v>
      </c>
      <c r="C6">
        <f ca="1">$C$2+B6*$C$3</f>
        <v>198</v>
      </c>
    </row>
    <row r="7" spans="1:3" x14ac:dyDescent="0.25">
      <c r="B7">
        <f t="shared" ca="1" si="0"/>
        <v>65</v>
      </c>
      <c r="C7">
        <f t="shared" ref="C7:C34" ca="1" si="1">$C$2+B7*$C$3</f>
        <v>160</v>
      </c>
    </row>
    <row r="8" spans="1:3" x14ac:dyDescent="0.25">
      <c r="B8">
        <f t="shared" ca="1" si="0"/>
        <v>40</v>
      </c>
      <c r="C8">
        <f t="shared" ca="1" si="1"/>
        <v>110</v>
      </c>
    </row>
    <row r="9" spans="1:3" x14ac:dyDescent="0.25">
      <c r="B9">
        <f t="shared" ca="1" si="0"/>
        <v>97</v>
      </c>
      <c r="C9">
        <f t="shared" ca="1" si="1"/>
        <v>224</v>
      </c>
    </row>
    <row r="10" spans="1:3" x14ac:dyDescent="0.25">
      <c r="B10">
        <f t="shared" ca="1" si="0"/>
        <v>71</v>
      </c>
      <c r="C10">
        <f t="shared" ca="1" si="1"/>
        <v>172</v>
      </c>
    </row>
    <row r="11" spans="1:3" x14ac:dyDescent="0.25">
      <c r="B11">
        <f t="shared" ca="1" si="0"/>
        <v>46</v>
      </c>
      <c r="C11">
        <f t="shared" ca="1" si="1"/>
        <v>122</v>
      </c>
    </row>
    <row r="12" spans="1:3" x14ac:dyDescent="0.25">
      <c r="B12">
        <f t="shared" ca="1" si="0"/>
        <v>52</v>
      </c>
      <c r="C12">
        <f t="shared" ca="1" si="1"/>
        <v>134</v>
      </c>
    </row>
    <row r="13" spans="1:3" x14ac:dyDescent="0.25">
      <c r="B13">
        <f t="shared" ca="1" si="0"/>
        <v>58</v>
      </c>
      <c r="C13">
        <f t="shared" ca="1" si="1"/>
        <v>146</v>
      </c>
    </row>
    <row r="14" spans="1:3" x14ac:dyDescent="0.25">
      <c r="B14">
        <f t="shared" ca="1" si="0"/>
        <v>1</v>
      </c>
      <c r="C14">
        <f t="shared" ca="1" si="1"/>
        <v>32</v>
      </c>
    </row>
    <row r="15" spans="1:3" x14ac:dyDescent="0.25">
      <c r="B15">
        <f t="shared" ca="1" si="0"/>
        <v>93</v>
      </c>
      <c r="C15">
        <f t="shared" ca="1" si="1"/>
        <v>216</v>
      </c>
    </row>
    <row r="16" spans="1:3" x14ac:dyDescent="0.25">
      <c r="B16">
        <f t="shared" ca="1" si="0"/>
        <v>70</v>
      </c>
      <c r="C16">
        <f t="shared" ca="1" si="1"/>
        <v>170</v>
      </c>
    </row>
    <row r="17" spans="2:3" x14ac:dyDescent="0.25">
      <c r="B17">
        <f t="shared" ca="1" si="0"/>
        <v>89</v>
      </c>
      <c r="C17">
        <f t="shared" ca="1" si="1"/>
        <v>208</v>
      </c>
    </row>
    <row r="18" spans="2:3" x14ac:dyDescent="0.25">
      <c r="B18">
        <f t="shared" ca="1" si="0"/>
        <v>5</v>
      </c>
      <c r="C18">
        <f t="shared" ca="1" si="1"/>
        <v>40</v>
      </c>
    </row>
    <row r="19" spans="2:3" x14ac:dyDescent="0.25">
      <c r="B19">
        <f t="shared" ca="1" si="0"/>
        <v>41</v>
      </c>
      <c r="C19">
        <f t="shared" ca="1" si="1"/>
        <v>112</v>
      </c>
    </row>
    <row r="20" spans="2:3" x14ac:dyDescent="0.25">
      <c r="B20">
        <f t="shared" ca="1" si="0"/>
        <v>37</v>
      </c>
      <c r="C20">
        <f t="shared" ca="1" si="1"/>
        <v>104</v>
      </c>
    </row>
    <row r="21" spans="2:3" x14ac:dyDescent="0.25">
      <c r="B21">
        <f t="shared" ca="1" si="0"/>
        <v>46</v>
      </c>
      <c r="C21">
        <f t="shared" ca="1" si="1"/>
        <v>122</v>
      </c>
    </row>
    <row r="22" spans="2:3" x14ac:dyDescent="0.25">
      <c r="B22">
        <f t="shared" ca="1" si="0"/>
        <v>24</v>
      </c>
      <c r="C22">
        <f t="shared" ca="1" si="1"/>
        <v>78</v>
      </c>
    </row>
    <row r="23" spans="2:3" x14ac:dyDescent="0.25">
      <c r="B23">
        <f t="shared" ca="1" si="0"/>
        <v>67</v>
      </c>
      <c r="C23">
        <f t="shared" ca="1" si="1"/>
        <v>164</v>
      </c>
    </row>
    <row r="24" spans="2:3" x14ac:dyDescent="0.25">
      <c r="B24">
        <f t="shared" ca="1" si="0"/>
        <v>53</v>
      </c>
      <c r="C24">
        <f t="shared" ca="1" si="1"/>
        <v>136</v>
      </c>
    </row>
    <row r="25" spans="2:3" x14ac:dyDescent="0.25">
      <c r="B25">
        <f t="shared" ca="1" si="0"/>
        <v>67</v>
      </c>
      <c r="C25">
        <f t="shared" ca="1" si="1"/>
        <v>164</v>
      </c>
    </row>
    <row r="26" spans="2:3" x14ac:dyDescent="0.25">
      <c r="B26">
        <f t="shared" ca="1" si="0"/>
        <v>48</v>
      </c>
      <c r="C26">
        <f t="shared" ca="1" si="1"/>
        <v>126</v>
      </c>
    </row>
    <row r="27" spans="2:3" x14ac:dyDescent="0.25">
      <c r="B27">
        <f t="shared" ca="1" si="0"/>
        <v>80</v>
      </c>
      <c r="C27">
        <f t="shared" ca="1" si="1"/>
        <v>190</v>
      </c>
    </row>
    <row r="28" spans="2:3" x14ac:dyDescent="0.25">
      <c r="B28">
        <f t="shared" ca="1" si="0"/>
        <v>20</v>
      </c>
      <c r="C28">
        <f t="shared" ca="1" si="1"/>
        <v>70</v>
      </c>
    </row>
    <row r="29" spans="2:3" x14ac:dyDescent="0.25">
      <c r="B29">
        <f t="shared" ca="1" si="0"/>
        <v>43</v>
      </c>
      <c r="C29">
        <f t="shared" ca="1" si="1"/>
        <v>116</v>
      </c>
    </row>
    <row r="30" spans="2:3" x14ac:dyDescent="0.25">
      <c r="B30">
        <f t="shared" ca="1" si="0"/>
        <v>18</v>
      </c>
      <c r="C30">
        <f t="shared" ca="1" si="1"/>
        <v>66</v>
      </c>
    </row>
    <row r="31" spans="2:3" x14ac:dyDescent="0.25">
      <c r="B31">
        <f t="shared" ca="1" si="0"/>
        <v>79</v>
      </c>
      <c r="C31">
        <f t="shared" ca="1" si="1"/>
        <v>188</v>
      </c>
    </row>
    <row r="32" spans="2:3" x14ac:dyDescent="0.25">
      <c r="B32">
        <f t="shared" ca="1" si="0"/>
        <v>47</v>
      </c>
      <c r="C32">
        <f t="shared" ca="1" si="1"/>
        <v>124</v>
      </c>
    </row>
    <row r="33" spans="2:3" x14ac:dyDescent="0.25">
      <c r="B33">
        <f t="shared" ca="1" si="0"/>
        <v>80</v>
      </c>
      <c r="C33">
        <f t="shared" ca="1" si="1"/>
        <v>190</v>
      </c>
    </row>
    <row r="34" spans="2:3" x14ac:dyDescent="0.25">
      <c r="B34">
        <f t="shared" ca="1" si="0"/>
        <v>14</v>
      </c>
      <c r="C34">
        <f t="shared" ca="1" si="1"/>
        <v>58</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37"/>
  <sheetViews>
    <sheetView zoomScale="130" zoomScaleNormal="130" workbookViewId="0">
      <pane ySplit="3" topLeftCell="A4" activePane="bottomLeft" state="frozen"/>
      <selection pane="bottomLeft" activeCell="C6" sqref="C6"/>
    </sheetView>
  </sheetViews>
  <sheetFormatPr defaultRowHeight="15" x14ac:dyDescent="0.25"/>
  <cols>
    <col min="1" max="1" width="7" customWidth="1"/>
    <col min="2" max="2" width="7.85546875" bestFit="1" customWidth="1"/>
    <col min="3" max="3" width="8.85546875" customWidth="1"/>
    <col min="4" max="4" width="7" customWidth="1"/>
    <col min="5" max="5" width="8.140625" customWidth="1"/>
    <col min="6" max="6" width="6.85546875" bestFit="1" customWidth="1"/>
    <col min="7" max="7" width="9.85546875" bestFit="1" customWidth="1"/>
    <col min="8" max="8" width="11.140625" bestFit="1" customWidth="1"/>
    <col min="9" max="9" width="10.85546875" customWidth="1"/>
    <col min="10" max="10" width="10.42578125" bestFit="1" customWidth="1"/>
    <col min="11" max="11" width="15.85546875" bestFit="1" customWidth="1"/>
    <col min="12" max="13" width="11.5703125" customWidth="1"/>
    <col min="14" max="14" width="12.85546875" customWidth="1"/>
  </cols>
  <sheetData>
    <row r="1" spans="1:14" ht="17.45" customHeight="1" x14ac:dyDescent="0.25">
      <c r="B1" t="s">
        <v>19</v>
      </c>
      <c r="C1">
        <v>1</v>
      </c>
      <c r="E1" t="s">
        <v>14</v>
      </c>
      <c r="F1">
        <v>1E-4</v>
      </c>
      <c r="L1" t="s">
        <v>4</v>
      </c>
    </row>
    <row r="2" spans="1:14" ht="17.45" customHeight="1" x14ac:dyDescent="0.25">
      <c r="B2" t="s">
        <v>0</v>
      </c>
      <c r="C2">
        <v>1</v>
      </c>
      <c r="H2" t="s">
        <v>3</v>
      </c>
      <c r="K2" t="s">
        <v>5</v>
      </c>
    </row>
    <row r="3" spans="1:14" s="2" customFormat="1" x14ac:dyDescent="0.25">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25">
      <c r="A4">
        <v>14</v>
      </c>
      <c r="B4">
        <v>58</v>
      </c>
      <c r="C4">
        <f>C1</f>
        <v>1</v>
      </c>
      <c r="D4">
        <f>C2</f>
        <v>1</v>
      </c>
      <c r="E4">
        <f>C4+D4*A4</f>
        <v>15</v>
      </c>
      <c r="F4" s="1">
        <f>(B4-E4)^2</f>
        <v>1849</v>
      </c>
      <c r="G4" s="3">
        <f>(((C4+0.01)+A4*D4)-B4)^2</f>
        <v>1848.1401000000001</v>
      </c>
      <c r="H4" s="3">
        <f>(G4-F4)/0.01</f>
        <v>-85.989999999992506</v>
      </c>
      <c r="I4" s="3">
        <f>(((D4+0.01)*A4+C4)-B4)^2</f>
        <v>1836.9795999999999</v>
      </c>
      <c r="J4" s="3">
        <f>(I4-F4)/0.01</f>
        <v>-1202.0400000000109</v>
      </c>
      <c r="K4" s="3">
        <f>2*(E4-B4)</f>
        <v>-86</v>
      </c>
      <c r="L4" s="3">
        <f>K4*A4</f>
        <v>-1204</v>
      </c>
      <c r="M4" s="3">
        <f>D4-L4*$F$1</f>
        <v>1.1204000000000001</v>
      </c>
      <c r="N4" s="3">
        <f>C4-K4*$F$1</f>
        <v>1.0085999999999999</v>
      </c>
    </row>
    <row r="5" spans="1:14" x14ac:dyDescent="0.25">
      <c r="A5">
        <v>86</v>
      </c>
      <c r="B5">
        <v>202</v>
      </c>
      <c r="C5" s="3">
        <f>N4</f>
        <v>1.0085999999999999</v>
      </c>
      <c r="D5">
        <f>M4</f>
        <v>1.1204000000000001</v>
      </c>
      <c r="E5">
        <f>C5+D5*A5</f>
        <v>97.363</v>
      </c>
      <c r="F5" s="1">
        <f>(B5-E5)^2</f>
        <v>10948.901769</v>
      </c>
      <c r="G5" s="3">
        <f>(((C5+0.01)+A5*D5)-B5)^2</f>
        <v>10946.809128999999</v>
      </c>
      <c r="H5" s="3">
        <f>(G5-F5)/0.01</f>
        <v>-209.26400000007561</v>
      </c>
      <c r="I5" s="3">
        <f>(((D5+0.01)*A5+C5)-B5)^2</f>
        <v>10769.665728999997</v>
      </c>
      <c r="J5" s="3">
        <f>(I5-F5)/0.01</f>
        <v>-17923.604000000341</v>
      </c>
      <c r="K5" s="3">
        <f t="shared" ref="K5:K32" si="0">2*(E5-B5)</f>
        <v>-209.274</v>
      </c>
      <c r="L5" s="3">
        <f>K5*A5</f>
        <v>-17997.563999999998</v>
      </c>
      <c r="M5" s="3">
        <f t="shared" ref="M5:M32" si="1">D5-L5*$F$1</f>
        <v>2.9201563999999998</v>
      </c>
      <c r="N5" s="3">
        <f t="shared" ref="N5:N32" si="2">C5-K5*$F$1</f>
        <v>1.0295273999999999</v>
      </c>
    </row>
    <row r="6" spans="1:14" x14ac:dyDescent="0.25">
      <c r="A6">
        <v>28</v>
      </c>
      <c r="B6">
        <v>86</v>
      </c>
      <c r="C6">
        <f>N5</f>
        <v>1.0295273999999999</v>
      </c>
      <c r="D6">
        <f>M5</f>
        <v>2.9201563999999998</v>
      </c>
      <c r="E6">
        <f>C6+D6*A6</f>
        <v>82.7939066</v>
      </c>
      <c r="F6" s="1">
        <f t="shared" ref="F6:F32" si="3">(B6-E6)^2</f>
        <v>10.279034889523562</v>
      </c>
      <c r="G6" s="3">
        <f t="shared" ref="G6:G32" si="4">(((C6+0.01)+A6*D6)-B6)^2</f>
        <v>10.215013021523621</v>
      </c>
      <c r="H6" s="3">
        <f t="shared" ref="H6:H32" si="5">(G6-F6)/0.01</f>
        <v>-6.4021867999940696</v>
      </c>
      <c r="I6" s="3">
        <f t="shared" ref="I6:I32" si="6">(((D6+0.01)*A6+C6)-B6)^2</f>
        <v>8.5620225855236392</v>
      </c>
      <c r="J6" s="3">
        <f t="shared" ref="J6:J32" si="7">(I6-F6)/0.01</f>
        <v>-171.70123039999226</v>
      </c>
      <c r="K6" s="3">
        <f t="shared" si="0"/>
        <v>-6.4121868000000006</v>
      </c>
      <c r="L6" s="3">
        <f t="shared" ref="L6:L32" si="8">K6*A6</f>
        <v>-179.54123040000002</v>
      </c>
      <c r="M6" s="3">
        <f t="shared" si="1"/>
        <v>2.9381105230399998</v>
      </c>
      <c r="N6" s="3">
        <f t="shared" si="2"/>
        <v>1.0301686186799999</v>
      </c>
    </row>
    <row r="7" spans="1:14" x14ac:dyDescent="0.25">
      <c r="A7">
        <v>51</v>
      </c>
      <c r="B7">
        <v>132</v>
      </c>
      <c r="C7">
        <f t="shared" ref="C7:C32" si="9">N6</f>
        <v>1.0301686186799999</v>
      </c>
      <c r="D7">
        <f t="shared" ref="D7:D32" si="10">M6</f>
        <v>2.9381105230399998</v>
      </c>
      <c r="E7">
        <f t="shared" ref="E7:E32" si="11">C7+D7*A7</f>
        <v>150.87380529371998</v>
      </c>
      <c r="F7" s="1">
        <f t="shared" si="3"/>
        <v>356.22052626525243</v>
      </c>
      <c r="G7" s="3">
        <f t="shared" si="4"/>
        <v>356.59810237112754</v>
      </c>
      <c r="H7" s="3">
        <f t="shared" si="5"/>
        <v>37.757610587510726</v>
      </c>
      <c r="I7" s="3">
        <f t="shared" si="6"/>
        <v>375.73190766484646</v>
      </c>
      <c r="J7" s="3">
        <f t="shared" si="7"/>
        <v>1951.1381399594029</v>
      </c>
      <c r="K7" s="3">
        <f t="shared" si="0"/>
        <v>37.747610587439965</v>
      </c>
      <c r="L7" s="3">
        <f t="shared" si="8"/>
        <v>1925.1281399594382</v>
      </c>
      <c r="M7" s="3">
        <f t="shared" si="1"/>
        <v>2.745597709044056</v>
      </c>
      <c r="N7" s="3">
        <f t="shared" si="2"/>
        <v>1.0263938576212559</v>
      </c>
    </row>
    <row r="8" spans="1:14" x14ac:dyDescent="0.25">
      <c r="A8">
        <v>28</v>
      </c>
      <c r="B8">
        <v>86</v>
      </c>
      <c r="C8">
        <f t="shared" si="9"/>
        <v>1.0263938576212559</v>
      </c>
      <c r="D8">
        <f t="shared" si="10"/>
        <v>2.745597709044056</v>
      </c>
      <c r="E8">
        <f t="shared" si="11"/>
        <v>77.903129710854827</v>
      </c>
      <c r="F8" s="1">
        <f t="shared" si="3"/>
        <v>65.559308479241835</v>
      </c>
      <c r="G8" s="3">
        <f t="shared" si="4"/>
        <v>65.397471073459073</v>
      </c>
      <c r="H8" s="3">
        <f t="shared" si="5"/>
        <v>-16.183740578276229</v>
      </c>
      <c r="I8" s="3">
        <f t="shared" si="6"/>
        <v>61.103461117320741</v>
      </c>
      <c r="J8" s="3">
        <f t="shared" si="7"/>
        <v>-445.5847361921094</v>
      </c>
      <c r="K8" s="3">
        <f t="shared" si="0"/>
        <v>-16.193740578290345</v>
      </c>
      <c r="L8" s="3">
        <f t="shared" si="8"/>
        <v>-453.42473619212967</v>
      </c>
      <c r="M8" s="3">
        <f t="shared" si="1"/>
        <v>2.7909401826632689</v>
      </c>
      <c r="N8" s="3">
        <f t="shared" si="2"/>
        <v>1.0280132316790849</v>
      </c>
    </row>
    <row r="9" spans="1:14" x14ac:dyDescent="0.25">
      <c r="A9">
        <v>29</v>
      </c>
      <c r="B9">
        <v>88</v>
      </c>
      <c r="C9">
        <f t="shared" si="9"/>
        <v>1.0280132316790849</v>
      </c>
      <c r="D9">
        <f t="shared" si="10"/>
        <v>2.7909401826632689</v>
      </c>
      <c r="E9">
        <f t="shared" si="11"/>
        <v>81.965278528913885</v>
      </c>
      <c r="F9" s="1">
        <f t="shared" si="3"/>
        <v>36.417863233587767</v>
      </c>
      <c r="G9" s="3">
        <f t="shared" si="4"/>
        <v>36.297268804165981</v>
      </c>
      <c r="H9" s="3">
        <f t="shared" si="5"/>
        <v>-12.059442942178578</v>
      </c>
      <c r="I9" s="3">
        <f t="shared" si="6"/>
        <v>33.001824780357914</v>
      </c>
      <c r="J9" s="3">
        <f t="shared" si="7"/>
        <v>-341.60384532298519</v>
      </c>
      <c r="K9" s="3">
        <f t="shared" si="0"/>
        <v>-12.06944294217223</v>
      </c>
      <c r="L9" s="3">
        <f t="shared" si="8"/>
        <v>-350.01384532299471</v>
      </c>
      <c r="M9" s="3">
        <f t="shared" si="1"/>
        <v>2.8259415671955685</v>
      </c>
      <c r="N9" s="3">
        <f t="shared" si="2"/>
        <v>1.0292201759733022</v>
      </c>
    </row>
    <row r="10" spans="1:14" x14ac:dyDescent="0.25">
      <c r="A10">
        <v>72</v>
      </c>
      <c r="B10">
        <v>174</v>
      </c>
      <c r="C10">
        <f t="shared" si="9"/>
        <v>1.0292201759733022</v>
      </c>
      <c r="D10">
        <f t="shared" si="10"/>
        <v>2.8259415671955685</v>
      </c>
      <c r="E10">
        <f t="shared" si="11"/>
        <v>204.49701301405423</v>
      </c>
      <c r="F10" s="1">
        <f t="shared" si="3"/>
        <v>930.06780277939322</v>
      </c>
      <c r="G10" s="3">
        <f t="shared" si="4"/>
        <v>930.67784303967369</v>
      </c>
      <c r="H10" s="3">
        <f t="shared" si="5"/>
        <v>61.004026028047065</v>
      </c>
      <c r="I10" s="3">
        <f t="shared" si="6"/>
        <v>974.50190151963125</v>
      </c>
      <c r="J10" s="3">
        <f t="shared" si="7"/>
        <v>4443.4098740238023</v>
      </c>
      <c r="K10" s="3">
        <f t="shared" si="0"/>
        <v>60.994026028108465</v>
      </c>
      <c r="L10" s="3">
        <f t="shared" si="8"/>
        <v>4391.5698740238095</v>
      </c>
      <c r="M10" s="3">
        <f t="shared" si="1"/>
        <v>2.3867845797931877</v>
      </c>
      <c r="N10" s="3">
        <f t="shared" si="2"/>
        <v>1.0231207733704912</v>
      </c>
    </row>
    <row r="11" spans="1:14" x14ac:dyDescent="0.25">
      <c r="A11">
        <v>62</v>
      </c>
      <c r="B11">
        <v>154</v>
      </c>
      <c r="C11">
        <f t="shared" si="9"/>
        <v>1.0231207733704912</v>
      </c>
      <c r="D11">
        <f t="shared" si="10"/>
        <v>2.3867845797931877</v>
      </c>
      <c r="E11">
        <f t="shared" si="11"/>
        <v>149.00376472054813</v>
      </c>
      <c r="F11" s="1">
        <f t="shared" si="3"/>
        <v>24.962366967639472</v>
      </c>
      <c r="G11" s="3">
        <f t="shared" si="4"/>
        <v>24.862542262050525</v>
      </c>
      <c r="H11" s="3">
        <f t="shared" si="5"/>
        <v>-9.9824705588947182</v>
      </c>
      <c r="I11" s="3">
        <f t="shared" si="6"/>
        <v>19.151435221119364</v>
      </c>
      <c r="J11" s="3">
        <f t="shared" si="7"/>
        <v>-581.09317465201082</v>
      </c>
      <c r="K11" s="3">
        <f t="shared" si="0"/>
        <v>-9.992470558903733</v>
      </c>
      <c r="L11" s="3">
        <f t="shared" si="8"/>
        <v>-619.53317465203145</v>
      </c>
      <c r="M11" s="3">
        <f t="shared" si="1"/>
        <v>2.4487378972583906</v>
      </c>
      <c r="N11" s="3">
        <f t="shared" si="2"/>
        <v>1.0241200204263816</v>
      </c>
    </row>
    <row r="12" spans="1:14" x14ac:dyDescent="0.25">
      <c r="A12">
        <v>84</v>
      </c>
      <c r="B12">
        <v>198</v>
      </c>
      <c r="C12">
        <f t="shared" si="9"/>
        <v>1.0241200204263816</v>
      </c>
      <c r="D12">
        <f t="shared" si="10"/>
        <v>2.4487378972583906</v>
      </c>
      <c r="E12">
        <f t="shared" si="11"/>
        <v>206.7181033901312</v>
      </c>
      <c r="F12" s="1">
        <f t="shared" si="3"/>
        <v>76.005326721017212</v>
      </c>
      <c r="G12" s="3">
        <f t="shared" si="4"/>
        <v>76.179788788819678</v>
      </c>
      <c r="H12" s="3">
        <f t="shared" si="5"/>
        <v>17.446206780246598</v>
      </c>
      <c r="I12" s="3">
        <f t="shared" si="6"/>
        <v>91.357340416437154</v>
      </c>
      <c r="J12" s="3">
        <f t="shared" si="7"/>
        <v>1535.2013695419942</v>
      </c>
      <c r="K12" s="3">
        <f t="shared" si="0"/>
        <v>17.43620678026241</v>
      </c>
      <c r="L12" s="3">
        <f t="shared" si="8"/>
        <v>1464.6413695420424</v>
      </c>
      <c r="M12" s="3">
        <f t="shared" si="1"/>
        <v>2.3022737603041863</v>
      </c>
      <c r="N12" s="3">
        <f t="shared" si="2"/>
        <v>1.0223763997483555</v>
      </c>
    </row>
    <row r="13" spans="1:14" x14ac:dyDescent="0.25">
      <c r="A13">
        <v>15</v>
      </c>
      <c r="B13">
        <v>60</v>
      </c>
      <c r="C13">
        <f t="shared" si="9"/>
        <v>1.0223763997483555</v>
      </c>
      <c r="D13">
        <f t="shared" si="10"/>
        <v>2.3022737603041863</v>
      </c>
      <c r="E13">
        <f t="shared" si="11"/>
        <v>35.556482804311145</v>
      </c>
      <c r="F13" s="1">
        <f t="shared" si="3"/>
        <v>597.48553289593679</v>
      </c>
      <c r="G13" s="3">
        <f t="shared" si="4"/>
        <v>596.99676255202269</v>
      </c>
      <c r="H13" s="3">
        <f t="shared" si="5"/>
        <v>-48.877034391409779</v>
      </c>
      <c r="I13" s="3">
        <f t="shared" si="6"/>
        <v>590.17497773723017</v>
      </c>
      <c r="J13" s="3">
        <f t="shared" si="7"/>
        <v>-731.05551587066202</v>
      </c>
      <c r="K13" s="3">
        <f t="shared" si="0"/>
        <v>-48.887034391377711</v>
      </c>
      <c r="L13" s="3">
        <f t="shared" si="8"/>
        <v>-733.30551587066566</v>
      </c>
      <c r="M13" s="3">
        <f t="shared" si="1"/>
        <v>2.3756043118912529</v>
      </c>
      <c r="N13" s="3">
        <f t="shared" si="2"/>
        <v>1.0272651031874933</v>
      </c>
    </row>
    <row r="14" spans="1:14" x14ac:dyDescent="0.25">
      <c r="A14">
        <v>42</v>
      </c>
      <c r="B14">
        <v>114</v>
      </c>
      <c r="C14">
        <f t="shared" si="9"/>
        <v>1.0272651031874933</v>
      </c>
      <c r="D14">
        <f t="shared" si="10"/>
        <v>2.3756043118912529</v>
      </c>
      <c r="E14">
        <f t="shared" si="11"/>
        <v>100.80264620262011</v>
      </c>
      <c r="F14" s="1">
        <f t="shared" si="3"/>
        <v>174.17014725321741</v>
      </c>
      <c r="G14" s="3">
        <f t="shared" si="4"/>
        <v>173.90630017726966</v>
      </c>
      <c r="H14" s="3">
        <f t="shared" si="5"/>
        <v>-26.384707594775136</v>
      </c>
      <c r="I14" s="3">
        <f t="shared" si="6"/>
        <v>163.26077006341862</v>
      </c>
      <c r="J14" s="3">
        <f t="shared" si="7"/>
        <v>-1090.9377189798788</v>
      </c>
      <c r="K14" s="3">
        <f t="shared" si="0"/>
        <v>-26.39470759475978</v>
      </c>
      <c r="L14" s="3">
        <f t="shared" si="8"/>
        <v>-1108.5777189799107</v>
      </c>
      <c r="M14" s="3">
        <f t="shared" si="1"/>
        <v>2.4864620837892439</v>
      </c>
      <c r="N14" s="3">
        <f t="shared" si="2"/>
        <v>1.0299045739469692</v>
      </c>
    </row>
    <row r="15" spans="1:14" x14ac:dyDescent="0.25">
      <c r="A15">
        <v>62</v>
      </c>
      <c r="B15">
        <v>154</v>
      </c>
      <c r="C15">
        <f>N14</f>
        <v>1.0299045739469692</v>
      </c>
      <c r="D15">
        <f>M14</f>
        <v>2.4864620837892439</v>
      </c>
      <c r="E15">
        <f t="shared" si="11"/>
        <v>155.19055376888008</v>
      </c>
      <c r="F15" s="1">
        <f t="shared" si="3"/>
        <v>1.4174182765945609</v>
      </c>
      <c r="G15" s="3">
        <f t="shared" si="4"/>
        <v>1.4413293519721406</v>
      </c>
      <c r="H15" s="3">
        <f t="shared" si="5"/>
        <v>2.3911075377579749</v>
      </c>
      <c r="I15" s="3">
        <f t="shared" si="6"/>
        <v>3.2781049500058757</v>
      </c>
      <c r="J15" s="3">
        <f t="shared" si="7"/>
        <v>186.06866734113149</v>
      </c>
      <c r="K15" s="3">
        <f t="shared" si="0"/>
        <v>2.3811075377601583</v>
      </c>
      <c r="L15" s="3">
        <f t="shared" si="8"/>
        <v>147.62866734112981</v>
      </c>
      <c r="M15" s="3">
        <f t="shared" si="1"/>
        <v>2.4716992170551308</v>
      </c>
      <c r="N15" s="3">
        <f t="shared" si="2"/>
        <v>1.0296664631931931</v>
      </c>
    </row>
    <row r="16" spans="1:14" x14ac:dyDescent="0.25">
      <c r="A16">
        <v>47</v>
      </c>
      <c r="B16">
        <v>124</v>
      </c>
      <c r="C16">
        <f t="shared" si="9"/>
        <v>1.0296664631931931</v>
      </c>
      <c r="D16">
        <f t="shared" si="10"/>
        <v>2.4716992170551308</v>
      </c>
      <c r="E16">
        <f t="shared" si="11"/>
        <v>117.19952966478435</v>
      </c>
      <c r="F16" s="1">
        <f t="shared" si="3"/>
        <v>46.246396780148054</v>
      </c>
      <c r="G16" s="3">
        <f t="shared" si="4"/>
        <v>46.110487373443668</v>
      </c>
      <c r="H16" s="3">
        <f t="shared" si="5"/>
        <v>-13.590940670438556</v>
      </c>
      <c r="I16" s="3">
        <f t="shared" si="6"/>
        <v>40.074854665045535</v>
      </c>
      <c r="J16" s="3">
        <f t="shared" si="7"/>
        <v>-617.1542115102518</v>
      </c>
      <c r="K16" s="3">
        <f t="shared" si="0"/>
        <v>-13.600940670431299</v>
      </c>
      <c r="L16" s="3">
        <f t="shared" si="8"/>
        <v>-639.24421151027104</v>
      </c>
      <c r="M16" s="3">
        <f t="shared" si="1"/>
        <v>2.5356236382061579</v>
      </c>
      <c r="N16" s="3">
        <f t="shared" si="2"/>
        <v>1.0310265572602362</v>
      </c>
    </row>
    <row r="17" spans="1:14" x14ac:dyDescent="0.25">
      <c r="A17">
        <v>35</v>
      </c>
      <c r="B17">
        <v>100</v>
      </c>
      <c r="C17">
        <f t="shared" si="9"/>
        <v>1.0310265572602362</v>
      </c>
      <c r="D17">
        <f t="shared" si="10"/>
        <v>2.5356236382061579</v>
      </c>
      <c r="E17">
        <f t="shared" si="11"/>
        <v>89.777853894475754</v>
      </c>
      <c r="F17" s="1">
        <f t="shared" si="3"/>
        <v>104.4922710026845</v>
      </c>
      <c r="G17" s="3">
        <f t="shared" si="4"/>
        <v>104.28792808057392</v>
      </c>
      <c r="H17" s="3">
        <f t="shared" si="5"/>
        <v>-20.434292211058391</v>
      </c>
      <c r="I17" s="3">
        <f t="shared" si="6"/>
        <v>97.459268728817648</v>
      </c>
      <c r="J17" s="3">
        <f t="shared" si="7"/>
        <v>-703.30022738668561</v>
      </c>
      <c r="K17" s="3">
        <f t="shared" si="0"/>
        <v>-20.444292211048491</v>
      </c>
      <c r="L17" s="3">
        <f t="shared" si="8"/>
        <v>-715.5502273866972</v>
      </c>
      <c r="M17" s="3">
        <f t="shared" si="1"/>
        <v>2.6071786609448275</v>
      </c>
      <c r="N17" s="3">
        <f t="shared" si="2"/>
        <v>1.033070986481341</v>
      </c>
    </row>
    <row r="18" spans="1:14" x14ac:dyDescent="0.25">
      <c r="A18">
        <v>9</v>
      </c>
      <c r="B18">
        <v>48</v>
      </c>
      <c r="C18">
        <f t="shared" si="9"/>
        <v>1.033070986481341</v>
      </c>
      <c r="D18">
        <f t="shared" si="10"/>
        <v>2.6071786609448275</v>
      </c>
      <c r="E18">
        <f t="shared" si="11"/>
        <v>24.497678934984791</v>
      </c>
      <c r="F18" s="1">
        <f t="shared" si="3"/>
        <v>552.35909544305764</v>
      </c>
      <c r="G18" s="3">
        <f t="shared" si="4"/>
        <v>551.88914902175748</v>
      </c>
      <c r="H18" s="3">
        <f t="shared" si="5"/>
        <v>-46.994642130016473</v>
      </c>
      <c r="I18" s="3">
        <f t="shared" si="6"/>
        <v>548.13677765135503</v>
      </c>
      <c r="J18" s="3">
        <f t="shared" si="7"/>
        <v>-422.23177917026078</v>
      </c>
      <c r="K18" s="3">
        <f t="shared" si="0"/>
        <v>-47.004642130030419</v>
      </c>
      <c r="L18" s="3">
        <f t="shared" si="8"/>
        <v>-423.0417791702738</v>
      </c>
      <c r="M18" s="3">
        <f t="shared" si="1"/>
        <v>2.649482838861855</v>
      </c>
      <c r="N18" s="3">
        <f t="shared" si="2"/>
        <v>1.0377714506943441</v>
      </c>
    </row>
    <row r="19" spans="1:14" x14ac:dyDescent="0.25">
      <c r="A19">
        <v>38</v>
      </c>
      <c r="B19">
        <v>106</v>
      </c>
      <c r="C19">
        <f t="shared" si="9"/>
        <v>1.0377714506943441</v>
      </c>
      <c r="D19">
        <f t="shared" si="10"/>
        <v>2.649482838861855</v>
      </c>
      <c r="E19">
        <f t="shared" si="11"/>
        <v>101.71811932744484</v>
      </c>
      <c r="F19" s="1">
        <f t="shared" si="3"/>
        <v>18.334502094001436</v>
      </c>
      <c r="G19" s="3">
        <f t="shared" si="4"/>
        <v>18.248964480550413</v>
      </c>
      <c r="H19" s="3">
        <f t="shared" si="5"/>
        <v>-8.5537613451023731</v>
      </c>
      <c r="I19" s="3">
        <f t="shared" si="6"/>
        <v>15.224672782859551</v>
      </c>
      <c r="J19" s="3">
        <f t="shared" si="7"/>
        <v>-310.98293111418849</v>
      </c>
      <c r="K19" s="3">
        <f t="shared" si="0"/>
        <v>-8.5637613451103221</v>
      </c>
      <c r="L19" s="3">
        <f t="shared" si="8"/>
        <v>-325.42293111419224</v>
      </c>
      <c r="M19" s="3">
        <f t="shared" si="1"/>
        <v>2.6820251319732744</v>
      </c>
      <c r="N19" s="3">
        <f t="shared" si="2"/>
        <v>1.0386278268288551</v>
      </c>
    </row>
    <row r="20" spans="1:14" x14ac:dyDescent="0.25">
      <c r="A20">
        <v>44</v>
      </c>
      <c r="B20">
        <v>118</v>
      </c>
      <c r="C20">
        <f t="shared" si="9"/>
        <v>1.0386278268288551</v>
      </c>
      <c r="D20">
        <f t="shared" si="10"/>
        <v>2.6820251319732744</v>
      </c>
      <c r="E20">
        <f t="shared" si="11"/>
        <v>119.04773363365292</v>
      </c>
      <c r="F20" s="1">
        <f t="shared" si="3"/>
        <v>1.0977457670875612</v>
      </c>
      <c r="G20" s="3">
        <f t="shared" si="4"/>
        <v>1.1188004397606006</v>
      </c>
      <c r="H20" s="3">
        <f t="shared" si="5"/>
        <v>2.1054672673039398</v>
      </c>
      <c r="I20" s="3">
        <f t="shared" si="6"/>
        <v>2.2133513647021283</v>
      </c>
      <c r="J20" s="3">
        <f t="shared" si="7"/>
        <v>111.56055976145672</v>
      </c>
      <c r="K20" s="3">
        <f t="shared" si="0"/>
        <v>2.0954672673058496</v>
      </c>
      <c r="L20" s="3">
        <f t="shared" si="8"/>
        <v>92.200559761457384</v>
      </c>
      <c r="M20" s="3">
        <f t="shared" si="1"/>
        <v>2.6728050759971285</v>
      </c>
      <c r="N20" s="3">
        <f t="shared" si="2"/>
        <v>1.0384182801021244</v>
      </c>
    </row>
    <row r="21" spans="1:14" x14ac:dyDescent="0.25">
      <c r="A21">
        <v>99</v>
      </c>
      <c r="B21">
        <v>228</v>
      </c>
      <c r="C21">
        <f t="shared" si="9"/>
        <v>1.0384182801021244</v>
      </c>
      <c r="D21">
        <f t="shared" si="10"/>
        <v>2.6728050759971285</v>
      </c>
      <c r="E21">
        <f t="shared" si="11"/>
        <v>265.64612080381784</v>
      </c>
      <c r="F21" s="1">
        <f t="shared" si="3"/>
        <v>1417.2304115756463</v>
      </c>
      <c r="G21" s="3">
        <f t="shared" si="4"/>
        <v>1417.9834339917218</v>
      </c>
      <c r="H21" s="3">
        <f t="shared" si="5"/>
        <v>75.302241607550968</v>
      </c>
      <c r="I21" s="3">
        <f t="shared" si="6"/>
        <v>1492.7498307672063</v>
      </c>
      <c r="J21" s="3">
        <f t="shared" si="7"/>
        <v>7551.9419191560019</v>
      </c>
      <c r="K21" s="3">
        <f t="shared" si="0"/>
        <v>75.292241607635674</v>
      </c>
      <c r="L21" s="3">
        <f t="shared" si="8"/>
        <v>7453.9319191559316</v>
      </c>
      <c r="M21" s="3">
        <f t="shared" si="1"/>
        <v>1.9274118840815353</v>
      </c>
      <c r="N21" s="3">
        <f t="shared" si="2"/>
        <v>1.0308890559413608</v>
      </c>
    </row>
    <row r="22" spans="1:14" x14ac:dyDescent="0.25">
      <c r="A22">
        <v>13</v>
      </c>
      <c r="B22">
        <v>56</v>
      </c>
      <c r="C22">
        <f t="shared" si="9"/>
        <v>1.0308890559413608</v>
      </c>
      <c r="D22">
        <f t="shared" si="10"/>
        <v>1.9274118840815353</v>
      </c>
      <c r="E22">
        <f t="shared" si="11"/>
        <v>26.087243549001322</v>
      </c>
      <c r="F22" s="1">
        <f t="shared" si="3"/>
        <v>894.77299849676308</v>
      </c>
      <c r="G22" s="3">
        <f t="shared" si="4"/>
        <v>894.17484336774316</v>
      </c>
      <c r="H22" s="3">
        <f t="shared" si="5"/>
        <v>-59.815512901991497</v>
      </c>
      <c r="I22" s="3">
        <f t="shared" si="6"/>
        <v>887.01258181950345</v>
      </c>
      <c r="J22" s="3">
        <f t="shared" si="7"/>
        <v>-776.04166772596272</v>
      </c>
      <c r="K22" s="3">
        <f t="shared" si="0"/>
        <v>-59.825512901997357</v>
      </c>
      <c r="L22" s="3">
        <f t="shared" si="8"/>
        <v>-777.73166772596562</v>
      </c>
      <c r="M22" s="3">
        <f t="shared" si="1"/>
        <v>2.005185050854132</v>
      </c>
      <c r="N22" s="3">
        <f t="shared" si="2"/>
        <v>1.0368716072315605</v>
      </c>
    </row>
    <row r="23" spans="1:14" x14ac:dyDescent="0.25">
      <c r="A23">
        <v>21</v>
      </c>
      <c r="B23">
        <v>72</v>
      </c>
      <c r="C23">
        <f t="shared" si="9"/>
        <v>1.0368716072315605</v>
      </c>
      <c r="D23">
        <f t="shared" si="10"/>
        <v>2.005185050854132</v>
      </c>
      <c r="E23">
        <f t="shared" si="11"/>
        <v>43.145757675168333</v>
      </c>
      <c r="F23" s="1">
        <f t="shared" si="3"/>
        <v>832.56730014010714</v>
      </c>
      <c r="G23" s="3">
        <f t="shared" si="4"/>
        <v>831.99031529361059</v>
      </c>
      <c r="H23" s="3">
        <f t="shared" si="5"/>
        <v>-57.698484649654347</v>
      </c>
      <c r="I23" s="3">
        <f t="shared" si="6"/>
        <v>820.49261836367816</v>
      </c>
      <c r="J23" s="3">
        <f t="shared" si="7"/>
        <v>-1207.4681776428974</v>
      </c>
      <c r="K23" s="3">
        <f t="shared" si="0"/>
        <v>-57.708484649663333</v>
      </c>
      <c r="L23" s="3">
        <f t="shared" si="8"/>
        <v>-1211.87817764293</v>
      </c>
      <c r="M23" s="3">
        <f t="shared" si="1"/>
        <v>2.1263728686184251</v>
      </c>
      <c r="N23" s="3">
        <f t="shared" si="2"/>
        <v>1.0426424556965268</v>
      </c>
    </row>
    <row r="24" spans="1:14" x14ac:dyDescent="0.25">
      <c r="A24">
        <v>28</v>
      </c>
      <c r="B24">
        <v>86</v>
      </c>
      <c r="C24">
        <f t="shared" si="9"/>
        <v>1.0426424556965268</v>
      </c>
      <c r="D24">
        <f t="shared" si="10"/>
        <v>2.1263728686184251</v>
      </c>
      <c r="E24">
        <f t="shared" si="11"/>
        <v>60.581082777012433</v>
      </c>
      <c r="F24" s="1">
        <f t="shared" si="3"/>
        <v>646.12135278909398</v>
      </c>
      <c r="G24" s="3">
        <f t="shared" si="4"/>
        <v>645.61307444463432</v>
      </c>
      <c r="H24" s="3">
        <f t="shared" si="5"/>
        <v>-50.827834445965436</v>
      </c>
      <c r="I24" s="3">
        <f t="shared" si="6"/>
        <v>631.96515914422116</v>
      </c>
      <c r="J24" s="3">
        <f t="shared" si="7"/>
        <v>-1415.6193644872815</v>
      </c>
      <c r="K24" s="3">
        <f t="shared" si="0"/>
        <v>-50.837834445975133</v>
      </c>
      <c r="L24" s="3">
        <f t="shared" si="8"/>
        <v>-1423.4593644873037</v>
      </c>
      <c r="M24" s="3">
        <f t="shared" si="1"/>
        <v>2.2687188050671554</v>
      </c>
      <c r="N24" s="3">
        <f t="shared" si="2"/>
        <v>1.0477262391411244</v>
      </c>
    </row>
    <row r="25" spans="1:14" x14ac:dyDescent="0.25">
      <c r="A25">
        <v>20</v>
      </c>
      <c r="B25">
        <v>70</v>
      </c>
      <c r="C25">
        <f t="shared" si="9"/>
        <v>1.0477262391411244</v>
      </c>
      <c r="D25">
        <f t="shared" si="10"/>
        <v>2.2687188050671554</v>
      </c>
      <c r="E25">
        <f t="shared" si="11"/>
        <v>46.422102340484237</v>
      </c>
      <c r="F25" s="1">
        <f t="shared" si="3"/>
        <v>555.91725804259886</v>
      </c>
      <c r="G25" s="3">
        <f t="shared" si="4"/>
        <v>555.44580008940864</v>
      </c>
      <c r="H25" s="3">
        <f t="shared" si="5"/>
        <v>-47.145795319022454</v>
      </c>
      <c r="I25" s="3">
        <f t="shared" si="6"/>
        <v>546.52609897879279</v>
      </c>
      <c r="J25" s="3">
        <f t="shared" si="7"/>
        <v>-939.11590638060716</v>
      </c>
      <c r="K25" s="3">
        <f t="shared" si="0"/>
        <v>-47.155795319031526</v>
      </c>
      <c r="L25" s="3">
        <f t="shared" si="8"/>
        <v>-943.11590638063058</v>
      </c>
      <c r="M25" s="3">
        <f t="shared" si="1"/>
        <v>2.3630303957052186</v>
      </c>
      <c r="N25" s="3">
        <f t="shared" si="2"/>
        <v>1.0524418186730276</v>
      </c>
    </row>
    <row r="26" spans="1:14" x14ac:dyDescent="0.25">
      <c r="A26">
        <v>8</v>
      </c>
      <c r="B26">
        <v>46</v>
      </c>
      <c r="C26">
        <f t="shared" si="9"/>
        <v>1.0524418186730276</v>
      </c>
      <c r="D26">
        <f t="shared" si="10"/>
        <v>2.3630303957052186</v>
      </c>
      <c r="E26">
        <f t="shared" si="11"/>
        <v>19.956684984314776</v>
      </c>
      <c r="F26" s="1">
        <f t="shared" si="3"/>
        <v>678.25425700621543</v>
      </c>
      <c r="G26" s="3">
        <f t="shared" si="4"/>
        <v>677.73349070590189</v>
      </c>
      <c r="H26" s="3">
        <f t="shared" si="5"/>
        <v>-52.076630031353943</v>
      </c>
      <c r="I26" s="3">
        <f t="shared" si="6"/>
        <v>674.09372660370593</v>
      </c>
      <c r="J26" s="3">
        <f t="shared" si="7"/>
        <v>-416.05304025094938</v>
      </c>
      <c r="K26" s="3">
        <f t="shared" si="0"/>
        <v>-52.086630031370447</v>
      </c>
      <c r="L26" s="3">
        <f t="shared" si="8"/>
        <v>-416.69304025096358</v>
      </c>
      <c r="M26" s="3">
        <f t="shared" si="1"/>
        <v>2.4046996997303149</v>
      </c>
      <c r="N26" s="3">
        <f t="shared" si="2"/>
        <v>1.0576504816761645</v>
      </c>
    </row>
    <row r="27" spans="1:14" x14ac:dyDescent="0.25">
      <c r="A27">
        <v>64</v>
      </c>
      <c r="B27">
        <v>158</v>
      </c>
      <c r="C27">
        <f t="shared" si="9"/>
        <v>1.0576504816761645</v>
      </c>
      <c r="D27">
        <f t="shared" si="10"/>
        <v>2.4046996997303149</v>
      </c>
      <c r="E27">
        <f t="shared" si="11"/>
        <v>154.95843126441633</v>
      </c>
      <c r="F27" s="1">
        <f t="shared" si="3"/>
        <v>9.251140373280025</v>
      </c>
      <c r="G27" s="3">
        <f t="shared" si="4"/>
        <v>9.1904089985684063</v>
      </c>
      <c r="H27" s="3">
        <f t="shared" si="5"/>
        <v>-6.0731374711618713</v>
      </c>
      <c r="I27" s="3">
        <f t="shared" si="6"/>
        <v>5.7675323917329973</v>
      </c>
      <c r="J27" s="3">
        <f t="shared" si="7"/>
        <v>-348.36079815470276</v>
      </c>
      <c r="K27" s="3">
        <f t="shared" si="0"/>
        <v>-6.0831374711673334</v>
      </c>
      <c r="L27" s="3">
        <f t="shared" si="8"/>
        <v>-389.32079815470934</v>
      </c>
      <c r="M27" s="3">
        <f t="shared" si="1"/>
        <v>2.443631779545786</v>
      </c>
      <c r="N27" s="3">
        <f t="shared" si="2"/>
        <v>1.0582587954232812</v>
      </c>
    </row>
    <row r="28" spans="1:14" x14ac:dyDescent="0.25">
      <c r="A28">
        <v>99</v>
      </c>
      <c r="B28">
        <v>228</v>
      </c>
      <c r="C28">
        <f t="shared" si="9"/>
        <v>1.0582587954232812</v>
      </c>
      <c r="D28">
        <f t="shared" si="10"/>
        <v>2.443631779545786</v>
      </c>
      <c r="E28">
        <f t="shared" si="11"/>
        <v>242.97780497045611</v>
      </c>
      <c r="F28" s="1">
        <f t="shared" si="3"/>
        <v>224.33464173301962</v>
      </c>
      <c r="G28" s="3">
        <f t="shared" si="4"/>
        <v>224.63429783242847</v>
      </c>
      <c r="H28" s="3">
        <f t="shared" si="5"/>
        <v>29.965609940884974</v>
      </c>
      <c r="I28" s="3">
        <f t="shared" si="6"/>
        <v>254.9707955745221</v>
      </c>
      <c r="J28" s="3">
        <f t="shared" si="7"/>
        <v>3063.6153841502478</v>
      </c>
      <c r="K28" s="3">
        <f t="shared" si="0"/>
        <v>29.955609940912211</v>
      </c>
      <c r="L28" s="3">
        <f t="shared" si="8"/>
        <v>2965.605384150309</v>
      </c>
      <c r="M28" s="3">
        <f t="shared" si="1"/>
        <v>2.1470712411307553</v>
      </c>
      <c r="N28" s="3">
        <f t="shared" si="2"/>
        <v>1.0552632344291899</v>
      </c>
    </row>
    <row r="29" spans="1:14" x14ac:dyDescent="0.25">
      <c r="A29">
        <v>70</v>
      </c>
      <c r="B29">
        <v>170</v>
      </c>
      <c r="C29">
        <f t="shared" si="9"/>
        <v>1.0552632344291899</v>
      </c>
      <c r="D29">
        <f t="shared" si="10"/>
        <v>2.1470712411307553</v>
      </c>
      <c r="E29">
        <f t="shared" si="11"/>
        <v>151.35025011358206</v>
      </c>
      <c r="F29" s="1">
        <f t="shared" si="3"/>
        <v>347.8131708259458</v>
      </c>
      <c r="G29" s="3">
        <f t="shared" si="4"/>
        <v>347.44027582821781</v>
      </c>
      <c r="H29" s="3">
        <f t="shared" si="5"/>
        <v>-37.289499772799672</v>
      </c>
      <c r="I29" s="3">
        <f t="shared" si="6"/>
        <v>322.19352098496114</v>
      </c>
      <c r="J29" s="3">
        <f t="shared" si="7"/>
        <v>-2561.9649840984662</v>
      </c>
      <c r="K29" s="3">
        <f t="shared" si="0"/>
        <v>-37.299499772835873</v>
      </c>
      <c r="L29" s="3">
        <f t="shared" si="8"/>
        <v>-2610.9649840985112</v>
      </c>
      <c r="M29" s="3">
        <f t="shared" si="1"/>
        <v>2.4081677395406063</v>
      </c>
      <c r="N29" s="3">
        <f t="shared" si="2"/>
        <v>1.0589931844064735</v>
      </c>
    </row>
    <row r="30" spans="1:14" x14ac:dyDescent="0.25">
      <c r="A30">
        <v>27</v>
      </c>
      <c r="B30">
        <v>84</v>
      </c>
      <c r="C30">
        <f t="shared" si="9"/>
        <v>1.0589931844064735</v>
      </c>
      <c r="D30">
        <f t="shared" si="10"/>
        <v>2.4081677395406063</v>
      </c>
      <c r="E30">
        <f t="shared" si="11"/>
        <v>66.079522152002838</v>
      </c>
      <c r="F30" s="1">
        <f t="shared" si="3"/>
        <v>321.14352630055703</v>
      </c>
      <c r="G30" s="3">
        <f t="shared" si="4"/>
        <v>320.78521674359689</v>
      </c>
      <c r="H30" s="3">
        <f t="shared" si="5"/>
        <v>-35.830955696013689</v>
      </c>
      <c r="I30" s="3">
        <f t="shared" si="6"/>
        <v>311.53936826263867</v>
      </c>
      <c r="J30" s="3">
        <f t="shared" si="7"/>
        <v>-960.41580379183529</v>
      </c>
      <c r="K30" s="3">
        <f t="shared" si="0"/>
        <v>-35.840955695994325</v>
      </c>
      <c r="L30" s="3">
        <f t="shared" si="8"/>
        <v>-967.70580379184673</v>
      </c>
      <c r="M30" s="3">
        <f t="shared" si="1"/>
        <v>2.5049383199197908</v>
      </c>
      <c r="N30" s="3">
        <f t="shared" si="2"/>
        <v>1.0625772799760729</v>
      </c>
    </row>
    <row r="31" spans="1:14" x14ac:dyDescent="0.25">
      <c r="A31">
        <v>17</v>
      </c>
      <c r="B31">
        <v>64</v>
      </c>
      <c r="C31">
        <f t="shared" si="9"/>
        <v>1.0625772799760729</v>
      </c>
      <c r="D31">
        <f t="shared" si="10"/>
        <v>2.5049383199197908</v>
      </c>
      <c r="E31">
        <f t="shared" si="11"/>
        <v>43.646528718612515</v>
      </c>
      <c r="F31" s="1">
        <f t="shared" si="3"/>
        <v>414.26379320226511</v>
      </c>
      <c r="G31" s="3">
        <f t="shared" si="4"/>
        <v>413.85682377663744</v>
      </c>
      <c r="H31" s="3">
        <f t="shared" si="5"/>
        <v>-40.69694256276648</v>
      </c>
      <c r="I31" s="3">
        <f t="shared" si="6"/>
        <v>407.37251296659326</v>
      </c>
      <c r="J31" s="3">
        <f t="shared" si="7"/>
        <v>-689.1280235671843</v>
      </c>
      <c r="K31" s="3">
        <f t="shared" si="0"/>
        <v>-40.706942562774969</v>
      </c>
      <c r="L31" s="3">
        <f t="shared" si="8"/>
        <v>-692.01802356717451</v>
      </c>
      <c r="M31" s="3">
        <f t="shared" si="1"/>
        <v>2.5741401222765083</v>
      </c>
      <c r="N31" s="3">
        <f t="shared" si="2"/>
        <v>1.0666479742323505</v>
      </c>
    </row>
    <row r="32" spans="1:14" x14ac:dyDescent="0.25">
      <c r="A32">
        <v>8</v>
      </c>
      <c r="B32">
        <v>46</v>
      </c>
      <c r="C32">
        <f t="shared" si="9"/>
        <v>1.0666479742323505</v>
      </c>
      <c r="D32">
        <f t="shared" si="10"/>
        <v>2.5741401222765083</v>
      </c>
      <c r="E32">
        <f t="shared" si="11"/>
        <v>21.659768952444416</v>
      </c>
      <c r="F32" s="1">
        <f t="shared" si="3"/>
        <v>592.44684744838878</v>
      </c>
      <c r="G32" s="3">
        <f t="shared" si="4"/>
        <v>591.96014282743761</v>
      </c>
      <c r="H32" s="3">
        <f t="shared" si="5"/>
        <v>-48.670462095117273</v>
      </c>
      <c r="I32" s="3">
        <f t="shared" si="6"/>
        <v>588.55881048077993</v>
      </c>
      <c r="J32" s="3">
        <f t="shared" si="7"/>
        <v>-388.80369676088549</v>
      </c>
      <c r="K32" s="3">
        <f t="shared" si="0"/>
        <v>-48.680462095111167</v>
      </c>
      <c r="L32" s="3">
        <f t="shared" si="8"/>
        <v>-389.44369676088934</v>
      </c>
      <c r="M32" s="3">
        <f t="shared" si="1"/>
        <v>2.6130844919525971</v>
      </c>
      <c r="N32" s="3">
        <f t="shared" si="2"/>
        <v>1.0715160204418617</v>
      </c>
    </row>
    <row r="33" spans="3:12" x14ac:dyDescent="0.25">
      <c r="E33" t="s">
        <v>2</v>
      </c>
      <c r="F33" s="1">
        <f>SQRT(SUM(F4:F32))</f>
        <v>150.75521153771854</v>
      </c>
      <c r="K33" s="3">
        <f>SQRT(SUMSQ(K4:K32))</f>
        <v>301.51042307543707</v>
      </c>
      <c r="L33" s="3">
        <f>SQRT(SUMSQ(L4:L32))</f>
        <v>20791.831056415613</v>
      </c>
    </row>
    <row r="36" spans="3:12" x14ac:dyDescent="0.25">
      <c r="C36" t="s">
        <v>20</v>
      </c>
    </row>
    <row r="37" spans="3:12" x14ac:dyDescent="0.25">
      <c r="C37" t="s">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9525</xdr:rowOff>
                  </from>
                  <to>
                    <xdr:col>0</xdr:col>
                    <xdr:colOff>504825</xdr:colOff>
                    <xdr:row>1</xdr:row>
                    <xdr:rowOff>209550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19050</xdr:rowOff>
                  </from>
                  <to>
                    <xdr:col>0</xdr:col>
                    <xdr:colOff>504825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defaultRowHeight="15" x14ac:dyDescent="0.25"/>
  <cols>
    <col min="3" max="3" width="8.85546875" style="4" customWidth="1"/>
    <col min="4" max="4" width="10.85546875" style="4" bestFit="1" customWidth="1"/>
    <col min="5" max="5" width="9.140625" style="4" bestFit="1" customWidth="1"/>
    <col min="6" max="6" width="10.85546875" style="6" bestFit="1" customWidth="1"/>
    <col min="7" max="7" width="10.140625" style="6" bestFit="1" customWidth="1"/>
    <col min="8" max="8" width="8.28515625" bestFit="1" customWidth="1"/>
    <col min="9" max="9" width="6.28515625" bestFit="1" customWidth="1"/>
    <col min="10" max="11" width="6.5703125" customWidth="1"/>
  </cols>
  <sheetData>
    <row r="1" spans="1:13" x14ac:dyDescent="0.25">
      <c r="B1" t="s">
        <v>21</v>
      </c>
      <c r="C1" s="4">
        <v>1.2610777567972657</v>
      </c>
      <c r="D1" s="4" t="s">
        <v>14</v>
      </c>
      <c r="I1" t="s">
        <v>24</v>
      </c>
      <c r="J1">
        <v>0.9</v>
      </c>
      <c r="K1">
        <f>1-J1</f>
        <v>9.9999999999999978E-2</v>
      </c>
    </row>
    <row r="2" spans="1:13" x14ac:dyDescent="0.25">
      <c r="B2" t="s">
        <v>22</v>
      </c>
      <c r="C2" s="4">
        <v>2.3580347909544339</v>
      </c>
      <c r="D2">
        <v>1E-4</v>
      </c>
      <c r="F2" s="8"/>
      <c r="G2" s="8"/>
    </row>
    <row r="3" spans="1:13" s="2" customFormat="1" x14ac:dyDescent="0.25">
      <c r="A3" s="2" t="s">
        <v>15</v>
      </c>
      <c r="B3" s="2" t="s">
        <v>16</v>
      </c>
      <c r="C3" s="5" t="s">
        <v>21</v>
      </c>
      <c r="D3" s="5" t="s">
        <v>22</v>
      </c>
      <c r="E3" s="5" t="s">
        <v>18</v>
      </c>
      <c r="F3" s="7" t="s">
        <v>6</v>
      </c>
      <c r="G3" s="7" t="s">
        <v>9</v>
      </c>
      <c r="H3" s="2" t="s">
        <v>13</v>
      </c>
      <c r="I3" s="2" t="s">
        <v>12</v>
      </c>
      <c r="J3">
        <f>J33</f>
        <v>-19.279531290451075</v>
      </c>
      <c r="K3">
        <f>K33</f>
        <v>162.8396203477341</v>
      </c>
      <c r="L3"/>
      <c r="M3"/>
    </row>
    <row r="4" spans="1:13" x14ac:dyDescent="0.25">
      <c r="A4">
        <v>14</v>
      </c>
      <c r="B4">
        <v>58</v>
      </c>
      <c r="C4" s="4">
        <f>C1</f>
        <v>1.2610777567972657</v>
      </c>
      <c r="D4" s="4">
        <f>C2</f>
        <v>2.3580347909544339</v>
      </c>
      <c r="E4" s="4">
        <f>C4+D4*A4</f>
        <v>34.273564830159337</v>
      </c>
      <c r="F4" s="6">
        <f t="shared" ref="F4:F32" si="0">2*(D4*A4+C4-B4)</f>
        <v>-47.452870339681326</v>
      </c>
      <c r="G4" s="6">
        <f t="shared" ref="G4:G32" si="1">F4*A4</f>
        <v>-664.34018475553853</v>
      </c>
      <c r="H4" s="3">
        <f>C4-J4*$D$2</f>
        <v>1.2632874433168031</v>
      </c>
      <c r="I4" s="3">
        <f>D4-K4*$D$2</f>
        <v>2.3500226269706932</v>
      </c>
      <c r="J4">
        <f>J3*$J$1+$K$1*F4</f>
        <v>-22.0968651953741</v>
      </c>
      <c r="K4">
        <f>K3*$J$1+$K$1*G4</f>
        <v>80.12163983740686</v>
      </c>
    </row>
    <row r="5" spans="1:13" x14ac:dyDescent="0.25">
      <c r="A5">
        <v>86</v>
      </c>
      <c r="B5">
        <v>202</v>
      </c>
      <c r="C5" s="4">
        <f>H4</f>
        <v>1.2632874433168031</v>
      </c>
      <c r="D5" s="4">
        <f>I4</f>
        <v>2.3500226269706932</v>
      </c>
      <c r="E5" s="4">
        <f>C5+D5*A5</f>
        <v>203.36523336279643</v>
      </c>
      <c r="F5" s="6">
        <f t="shared" si="0"/>
        <v>2.7304667255928621</v>
      </c>
      <c r="G5" s="6">
        <f t="shared" si="1"/>
        <v>234.82013840098614</v>
      </c>
      <c r="H5" s="3">
        <f t="shared" ref="H5:H32" si="2">C5-J5*$D$2</f>
        <v>1.2652488565171309</v>
      </c>
      <c r="I5" s="3">
        <f t="shared" ref="I5:I32" si="3">D5-K5*$D$2</f>
        <v>2.3404634780013169</v>
      </c>
      <c r="J5">
        <f>J4*$J$1+$K$1*F5</f>
        <v>-19.614132003277405</v>
      </c>
      <c r="K5">
        <f t="shared" ref="J5:K20" si="4">K4*$J$1+$K$1*G5</f>
        <v>95.5914896937648</v>
      </c>
    </row>
    <row r="6" spans="1:13" x14ac:dyDescent="0.25">
      <c r="A6">
        <v>28</v>
      </c>
      <c r="B6">
        <v>86</v>
      </c>
      <c r="C6" s="4">
        <f>H5</f>
        <v>1.2652488565171309</v>
      </c>
      <c r="D6" s="4">
        <f>I5</f>
        <v>2.3404634780013169</v>
      </c>
      <c r="E6" s="4">
        <f>C6+D6*A6</f>
        <v>66.798226240554001</v>
      </c>
      <c r="F6" s="6">
        <f t="shared" si="0"/>
        <v>-38.403547518891997</v>
      </c>
      <c r="G6" s="6">
        <f t="shared" si="1"/>
        <v>-1075.299330528976</v>
      </c>
      <c r="H6" s="3">
        <f t="shared" si="2"/>
        <v>1.2673981638726148</v>
      </c>
      <c r="I6" s="3">
        <f t="shared" si="3"/>
        <v>2.3426132372341679</v>
      </c>
      <c r="J6">
        <f t="shared" si="4"/>
        <v>-21.493073554838862</v>
      </c>
      <c r="K6">
        <f t="shared" si="4"/>
        <v>-21.497592328509256</v>
      </c>
    </row>
    <row r="7" spans="1:13" x14ac:dyDescent="0.25">
      <c r="A7">
        <v>51</v>
      </c>
      <c r="B7">
        <v>132</v>
      </c>
      <c r="C7" s="4">
        <f t="shared" ref="C7:D32" si="5">H6</f>
        <v>1.2673981638726148</v>
      </c>
      <c r="D7" s="4">
        <f t="shared" si="5"/>
        <v>2.3426132372341679</v>
      </c>
      <c r="E7" s="4">
        <f t="shared" ref="E7:E32" si="6">C7+D7*A7</f>
        <v>120.74067326281518</v>
      </c>
      <c r="F7" s="6">
        <f t="shared" si="0"/>
        <v>-22.518653474369643</v>
      </c>
      <c r="G7" s="6">
        <f t="shared" si="1"/>
        <v>-1148.4513271928517</v>
      </c>
      <c r="H7" s="3">
        <f t="shared" si="2"/>
        <v>1.269557727027294</v>
      </c>
      <c r="I7" s="3">
        <f t="shared" si="3"/>
        <v>2.3560325338156622</v>
      </c>
      <c r="J7">
        <f t="shared" si="4"/>
        <v>-21.595631546791942</v>
      </c>
      <c r="K7">
        <f t="shared" si="4"/>
        <v>-134.19296581494348</v>
      </c>
    </row>
    <row r="8" spans="1:13" x14ac:dyDescent="0.25">
      <c r="A8">
        <v>28</v>
      </c>
      <c r="B8">
        <v>86</v>
      </c>
      <c r="C8" s="4">
        <f t="shared" si="5"/>
        <v>1.269557727027294</v>
      </c>
      <c r="D8" s="4">
        <f t="shared" si="5"/>
        <v>2.3560325338156622</v>
      </c>
      <c r="E8" s="4">
        <f t="shared" si="6"/>
        <v>67.238468673865839</v>
      </c>
      <c r="F8" s="6">
        <f t="shared" si="0"/>
        <v>-37.523062652268322</v>
      </c>
      <c r="G8" s="6">
        <f t="shared" si="1"/>
        <v>-1050.645754263513</v>
      </c>
      <c r="H8" s="3">
        <f t="shared" si="2"/>
        <v>1.2718765644930279</v>
      </c>
      <c r="I8" s="3">
        <f t="shared" si="3"/>
        <v>2.3786163582816422</v>
      </c>
      <c r="J8">
        <f t="shared" si="4"/>
        <v>-23.18837465733958</v>
      </c>
      <c r="K8">
        <f t="shared" si="4"/>
        <v>-225.83824465980041</v>
      </c>
    </row>
    <row r="9" spans="1:13" x14ac:dyDescent="0.25">
      <c r="A9">
        <v>29</v>
      </c>
      <c r="B9">
        <v>88</v>
      </c>
      <c r="C9" s="4">
        <f t="shared" si="5"/>
        <v>1.2718765644930279</v>
      </c>
      <c r="D9" s="4">
        <f t="shared" si="5"/>
        <v>2.3786163582816422</v>
      </c>
      <c r="E9" s="4">
        <f t="shared" si="6"/>
        <v>70.25175095466065</v>
      </c>
      <c r="F9" s="6">
        <f t="shared" si="0"/>
        <v>-35.496498090678699</v>
      </c>
      <c r="G9" s="6">
        <f t="shared" si="1"/>
        <v>-1029.3984446296822</v>
      </c>
      <c r="H9" s="3">
        <f t="shared" si="2"/>
        <v>1.2743184831930952</v>
      </c>
      <c r="I9" s="3">
        <f t="shared" si="3"/>
        <v>2.4092357847473211</v>
      </c>
      <c r="J9">
        <f t="shared" si="4"/>
        <v>-24.419187000673492</v>
      </c>
      <c r="K9">
        <f t="shared" si="4"/>
        <v>-306.19426465678856</v>
      </c>
    </row>
    <row r="10" spans="1:13" x14ac:dyDescent="0.25">
      <c r="A10">
        <v>72</v>
      </c>
      <c r="B10">
        <v>174</v>
      </c>
      <c r="C10" s="4">
        <f t="shared" si="5"/>
        <v>1.2743184831930952</v>
      </c>
      <c r="D10" s="4">
        <f t="shared" si="5"/>
        <v>2.4092357847473211</v>
      </c>
      <c r="E10" s="4">
        <f t="shared" si="6"/>
        <v>174.73929498500021</v>
      </c>
      <c r="F10" s="6">
        <f t="shared" si="0"/>
        <v>1.4785899700004279</v>
      </c>
      <c r="G10" s="6">
        <f t="shared" si="1"/>
        <v>106.45847784003081</v>
      </c>
      <c r="H10" s="3">
        <f t="shared" si="2"/>
        <v>1.2765014241234558</v>
      </c>
      <c r="I10" s="3">
        <f t="shared" si="3"/>
        <v>2.4357286837880316</v>
      </c>
      <c r="J10">
        <f t="shared" si="4"/>
        <v>-21.829409303606102</v>
      </c>
      <c r="K10">
        <f t="shared" si="4"/>
        <v>-264.92899040710665</v>
      </c>
    </row>
    <row r="11" spans="1:13" x14ac:dyDescent="0.25">
      <c r="A11">
        <v>62</v>
      </c>
      <c r="B11">
        <v>154</v>
      </c>
      <c r="C11" s="4">
        <f t="shared" si="5"/>
        <v>1.2765014241234558</v>
      </c>
      <c r="D11" s="4">
        <f t="shared" si="5"/>
        <v>2.4357286837880316</v>
      </c>
      <c r="E11" s="4">
        <f t="shared" si="6"/>
        <v>152.29167981898144</v>
      </c>
      <c r="F11" s="6">
        <f t="shared" si="0"/>
        <v>-3.4166403620371284</v>
      </c>
      <c r="G11" s="6">
        <f t="shared" si="1"/>
        <v>-211.83170244630196</v>
      </c>
      <c r="H11" s="3">
        <f t="shared" si="2"/>
        <v>1.2785002373644008</v>
      </c>
      <c r="I11" s="3">
        <f t="shared" si="3"/>
        <v>2.4616906099491342</v>
      </c>
      <c r="J11">
        <f t="shared" si="4"/>
        <v>-19.988132409449207</v>
      </c>
      <c r="K11">
        <f t="shared" si="4"/>
        <v>-259.61926161102622</v>
      </c>
    </row>
    <row r="12" spans="1:13" x14ac:dyDescent="0.25">
      <c r="A12">
        <v>84</v>
      </c>
      <c r="B12">
        <v>198</v>
      </c>
      <c r="C12" s="4">
        <f t="shared" si="5"/>
        <v>1.2785002373644008</v>
      </c>
      <c r="D12" s="4">
        <f t="shared" si="5"/>
        <v>2.4616906099491342</v>
      </c>
      <c r="E12" s="4">
        <f t="shared" si="6"/>
        <v>208.06051147309168</v>
      </c>
      <c r="F12" s="6">
        <f t="shared" si="0"/>
        <v>20.121022946183359</v>
      </c>
      <c r="G12" s="6">
        <f t="shared" si="1"/>
        <v>1690.1659274794022</v>
      </c>
      <c r="H12" s="3">
        <f t="shared" si="2"/>
        <v>1.2800979590517894</v>
      </c>
      <c r="I12" s="3">
        <f t="shared" si="3"/>
        <v>2.4681546842193325</v>
      </c>
      <c r="J12">
        <f t="shared" si="4"/>
        <v>-15.977216873885952</v>
      </c>
      <c r="K12">
        <f t="shared" si="4"/>
        <v>-64.640742701983442</v>
      </c>
    </row>
    <row r="13" spans="1:13" x14ac:dyDescent="0.25">
      <c r="A13">
        <v>15</v>
      </c>
      <c r="B13">
        <v>60</v>
      </c>
      <c r="C13" s="4">
        <f t="shared" si="5"/>
        <v>1.2800979590517894</v>
      </c>
      <c r="D13" s="4">
        <f t="shared" si="5"/>
        <v>2.4681546842193325</v>
      </c>
      <c r="E13" s="4">
        <f t="shared" si="6"/>
        <v>38.302418222341771</v>
      </c>
      <c r="F13" s="6">
        <f t="shared" si="0"/>
        <v>-43.395163555316458</v>
      </c>
      <c r="G13" s="6">
        <f t="shared" si="1"/>
        <v>-650.92745332974687</v>
      </c>
      <c r="H13" s="3">
        <f t="shared" si="2"/>
        <v>1.2819698602059924</v>
      </c>
      <c r="I13" s="3">
        <f t="shared" si="3"/>
        <v>2.4804816255958086</v>
      </c>
      <c r="J13">
        <f t="shared" si="4"/>
        <v>-18.719011542029001</v>
      </c>
      <c r="K13">
        <f t="shared" si="4"/>
        <v>-123.26941376475978</v>
      </c>
    </row>
    <row r="14" spans="1:13" x14ac:dyDescent="0.25">
      <c r="A14">
        <v>42</v>
      </c>
      <c r="B14">
        <v>114</v>
      </c>
      <c r="C14" s="4">
        <f t="shared" si="5"/>
        <v>1.2819698602059924</v>
      </c>
      <c r="D14" s="4">
        <f t="shared" si="5"/>
        <v>2.4804816255958086</v>
      </c>
      <c r="E14" s="4">
        <f t="shared" si="6"/>
        <v>105.46219813522995</v>
      </c>
      <c r="F14" s="6">
        <f t="shared" si="0"/>
        <v>-17.075603729540092</v>
      </c>
      <c r="G14" s="6">
        <f t="shared" si="1"/>
        <v>-717.17535664068384</v>
      </c>
      <c r="H14" s="3">
        <f t="shared" si="2"/>
        <v>1.2838253272820703</v>
      </c>
      <c r="I14" s="3">
        <f t="shared" si="3"/>
        <v>2.4987476264010438</v>
      </c>
      <c r="J14">
        <f t="shared" si="4"/>
        <v>-18.554670760780112</v>
      </c>
      <c r="K14">
        <f t="shared" si="4"/>
        <v>-182.66000805235217</v>
      </c>
    </row>
    <row r="15" spans="1:13" x14ac:dyDescent="0.25">
      <c r="A15">
        <v>62</v>
      </c>
      <c r="B15">
        <v>154</v>
      </c>
      <c r="C15" s="4">
        <f t="shared" si="5"/>
        <v>1.2838253272820703</v>
      </c>
      <c r="D15" s="4">
        <f>I14</f>
        <v>2.4987476264010438</v>
      </c>
      <c r="E15" s="4">
        <f t="shared" si="6"/>
        <v>156.20617816414679</v>
      </c>
      <c r="F15" s="6">
        <f t="shared" si="0"/>
        <v>4.4123563282935834</v>
      </c>
      <c r="G15" s="6">
        <f t="shared" si="1"/>
        <v>273.56609235420217</v>
      </c>
      <c r="H15" s="3">
        <f t="shared" si="2"/>
        <v>1.2854511240872577</v>
      </c>
      <c r="I15" s="3">
        <f t="shared" si="3"/>
        <v>2.5124513662022134</v>
      </c>
      <c r="J15">
        <f t="shared" si="4"/>
        <v>-16.257968051872744</v>
      </c>
      <c r="K15">
        <f t="shared" si="4"/>
        <v>-137.03739801169672</v>
      </c>
    </row>
    <row r="16" spans="1:13" x14ac:dyDescent="0.25">
      <c r="A16">
        <v>47</v>
      </c>
      <c r="B16">
        <v>124</v>
      </c>
      <c r="C16" s="4">
        <f t="shared" si="5"/>
        <v>1.2854511240872577</v>
      </c>
      <c r="D16" s="4">
        <f t="shared" si="5"/>
        <v>2.5124513662022134</v>
      </c>
      <c r="E16" s="4">
        <f t="shared" si="6"/>
        <v>119.3706653355913</v>
      </c>
      <c r="F16" s="6">
        <f t="shared" si="0"/>
        <v>-9.2586693288174047</v>
      </c>
      <c r="G16" s="6">
        <f t="shared" si="1"/>
        <v>-435.15745845441802</v>
      </c>
      <c r="H16" s="3">
        <f t="shared" si="2"/>
        <v>1.2870069279052143</v>
      </c>
      <c r="I16" s="3">
        <f t="shared" si="3"/>
        <v>2.5291363066078105</v>
      </c>
      <c r="J16">
        <f t="shared" si="4"/>
        <v>-15.558038179567211</v>
      </c>
      <c r="K16">
        <f t="shared" si="4"/>
        <v>-166.84940405596885</v>
      </c>
    </row>
    <row r="17" spans="1:11" x14ac:dyDescent="0.25">
      <c r="A17">
        <v>35</v>
      </c>
      <c r="B17">
        <v>100</v>
      </c>
      <c r="C17" s="4">
        <f t="shared" si="5"/>
        <v>1.2870069279052143</v>
      </c>
      <c r="D17" s="4">
        <f t="shared" si="5"/>
        <v>2.5291363066078105</v>
      </c>
      <c r="E17" s="4">
        <f t="shared" si="6"/>
        <v>89.806777659178579</v>
      </c>
      <c r="F17" s="6">
        <f t="shared" si="0"/>
        <v>-20.386444681642843</v>
      </c>
      <c r="G17" s="6">
        <f t="shared" si="1"/>
        <v>-713.52556385749949</v>
      </c>
      <c r="H17" s="3">
        <f t="shared" si="2"/>
        <v>1.2886110157881918</v>
      </c>
      <c r="I17" s="3">
        <f t="shared" si="3"/>
        <v>2.5512880086114227</v>
      </c>
      <c r="J17">
        <f t="shared" si="4"/>
        <v>-16.040878829774776</v>
      </c>
      <c r="K17">
        <f t="shared" si="4"/>
        <v>-221.51702003612189</v>
      </c>
    </row>
    <row r="18" spans="1:11" x14ac:dyDescent="0.25">
      <c r="A18">
        <v>9</v>
      </c>
      <c r="B18">
        <v>48</v>
      </c>
      <c r="C18" s="4">
        <f t="shared" si="5"/>
        <v>1.2886110157881918</v>
      </c>
      <c r="D18" s="4">
        <f t="shared" si="5"/>
        <v>2.5512880086114227</v>
      </c>
      <c r="E18" s="4">
        <f t="shared" si="6"/>
        <v>24.250203093290995</v>
      </c>
      <c r="F18" s="6">
        <f t="shared" si="0"/>
        <v>-47.499593813418009</v>
      </c>
      <c r="G18" s="6">
        <f t="shared" si="1"/>
        <v>-427.49634432076209</v>
      </c>
      <c r="H18" s="3">
        <f t="shared" si="2"/>
        <v>1.2905296908210058</v>
      </c>
      <c r="I18" s="3">
        <f t="shared" si="3"/>
        <v>2.5754995038578814</v>
      </c>
      <c r="J18">
        <f t="shared" si="4"/>
        <v>-19.186750328139098</v>
      </c>
      <c r="K18">
        <f t="shared" si="4"/>
        <v>-242.11495246458591</v>
      </c>
    </row>
    <row r="19" spans="1:11" x14ac:dyDescent="0.25">
      <c r="A19">
        <v>38</v>
      </c>
      <c r="B19">
        <v>106</v>
      </c>
      <c r="C19" s="4">
        <f t="shared" si="5"/>
        <v>1.2905296908210058</v>
      </c>
      <c r="D19" s="4">
        <f t="shared" si="5"/>
        <v>2.5754995038578814</v>
      </c>
      <c r="E19" s="4">
        <f t="shared" si="6"/>
        <v>99.159510837420498</v>
      </c>
      <c r="F19" s="6">
        <f t="shared" si="0"/>
        <v>-13.680978325159003</v>
      </c>
      <c r="G19" s="6">
        <f t="shared" si="1"/>
        <v>-519.87717635604213</v>
      </c>
      <c r="H19" s="3">
        <f t="shared" si="2"/>
        <v>1.2923933081337899</v>
      </c>
      <c r="I19" s="3">
        <f t="shared" si="3"/>
        <v>2.6024886213432548</v>
      </c>
      <c r="J19">
        <f t="shared" si="4"/>
        <v>-18.63617312784109</v>
      </c>
      <c r="K19">
        <f t="shared" si="4"/>
        <v>-269.89117485373151</v>
      </c>
    </row>
    <row r="20" spans="1:11" x14ac:dyDescent="0.25">
      <c r="A20">
        <v>44</v>
      </c>
      <c r="B20">
        <v>118</v>
      </c>
      <c r="C20" s="4">
        <f t="shared" si="5"/>
        <v>1.2923933081337899</v>
      </c>
      <c r="D20" s="4">
        <f t="shared" si="5"/>
        <v>2.6024886213432548</v>
      </c>
      <c r="E20" s="4">
        <f t="shared" si="6"/>
        <v>115.80189264723701</v>
      </c>
      <c r="F20" s="6">
        <f t="shared" si="0"/>
        <v>-4.3962147055259777</v>
      </c>
      <c r="G20" s="6">
        <f t="shared" si="1"/>
        <v>-193.43344704314302</v>
      </c>
      <c r="H20" s="3">
        <f t="shared" si="2"/>
        <v>1.294114525862351</v>
      </c>
      <c r="I20" s="3">
        <f t="shared" si="3"/>
        <v>2.6287131615505221</v>
      </c>
      <c r="J20">
        <f t="shared" si="4"/>
        <v>-17.212177285609581</v>
      </c>
      <c r="K20">
        <f t="shared" si="4"/>
        <v>-262.24540207267268</v>
      </c>
    </row>
    <row r="21" spans="1:11" x14ac:dyDescent="0.25">
      <c r="A21">
        <v>99</v>
      </c>
      <c r="B21">
        <v>228</v>
      </c>
      <c r="C21" s="4">
        <f t="shared" si="5"/>
        <v>1.294114525862351</v>
      </c>
      <c r="D21" s="4">
        <f t="shared" si="5"/>
        <v>2.6287131615505221</v>
      </c>
      <c r="E21" s="4">
        <f t="shared" si="6"/>
        <v>261.53671751936406</v>
      </c>
      <c r="F21" s="6">
        <f t="shared" si="0"/>
        <v>67.073435038728121</v>
      </c>
      <c r="G21" s="6">
        <f t="shared" si="1"/>
        <v>6640.2700688340838</v>
      </c>
      <c r="H21" s="3">
        <f t="shared" si="2"/>
        <v>1.2949928874676686</v>
      </c>
      <c r="I21" s="3">
        <f t="shared" si="3"/>
        <v>2.5859125470487219</v>
      </c>
      <c r="J21">
        <f t="shared" ref="J21:K32" si="7">J20*$J$1+$K$1*F21</f>
        <v>-8.7836160531758125</v>
      </c>
      <c r="K21">
        <f t="shared" si="7"/>
        <v>428.00614501800283</v>
      </c>
    </row>
    <row r="22" spans="1:11" x14ac:dyDescent="0.25">
      <c r="A22">
        <v>13</v>
      </c>
      <c r="B22">
        <v>56</v>
      </c>
      <c r="C22" s="4">
        <f t="shared" si="5"/>
        <v>1.2949928874676686</v>
      </c>
      <c r="D22" s="4">
        <f t="shared" si="5"/>
        <v>2.5859125470487219</v>
      </c>
      <c r="E22" s="4">
        <f t="shared" si="6"/>
        <v>34.911855999101057</v>
      </c>
      <c r="F22" s="6">
        <f t="shared" si="0"/>
        <v>-42.176288001797886</v>
      </c>
      <c r="G22" s="6">
        <f t="shared" si="1"/>
        <v>-548.29174402337253</v>
      </c>
      <c r="H22" s="3">
        <f t="shared" si="2"/>
        <v>1.2962051757924724</v>
      </c>
      <c r="I22" s="3">
        <f t="shared" si="3"/>
        <v>2.5528749114373355</v>
      </c>
      <c r="J22">
        <f t="shared" si="7"/>
        <v>-12.122883248038018</v>
      </c>
      <c r="K22">
        <f t="shared" si="7"/>
        <v>330.37635611386531</v>
      </c>
    </row>
    <row r="23" spans="1:11" x14ac:dyDescent="0.25">
      <c r="A23">
        <v>21</v>
      </c>
      <c r="B23">
        <v>72</v>
      </c>
      <c r="C23" s="4">
        <f t="shared" si="5"/>
        <v>1.2962051757924724</v>
      </c>
      <c r="D23" s="4">
        <f t="shared" si="5"/>
        <v>2.5528749114373355</v>
      </c>
      <c r="E23" s="4">
        <f t="shared" si="6"/>
        <v>54.906578315976518</v>
      </c>
      <c r="F23" s="6">
        <f t="shared" si="0"/>
        <v>-34.186843368046965</v>
      </c>
      <c r="G23" s="6">
        <f t="shared" si="1"/>
        <v>-717.92371072898629</v>
      </c>
      <c r="H23" s="3">
        <f t="shared" si="2"/>
        <v>1.2976381037184763</v>
      </c>
      <c r="I23" s="3">
        <f t="shared" si="3"/>
        <v>2.5303202764943773</v>
      </c>
      <c r="J23">
        <f t="shared" si="7"/>
        <v>-14.329279260038913</v>
      </c>
      <c r="K23">
        <f t="shared" si="7"/>
        <v>225.54634942958018</v>
      </c>
    </row>
    <row r="24" spans="1:11" x14ac:dyDescent="0.25">
      <c r="A24">
        <v>28</v>
      </c>
      <c r="B24">
        <v>86</v>
      </c>
      <c r="C24" s="4">
        <f t="shared" si="5"/>
        <v>1.2976381037184763</v>
      </c>
      <c r="D24" s="4">
        <f t="shared" si="5"/>
        <v>2.5303202764943773</v>
      </c>
      <c r="E24" s="4">
        <f t="shared" si="6"/>
        <v>72.146605845561027</v>
      </c>
      <c r="F24" s="6">
        <f t="shared" si="0"/>
        <v>-27.706788308877947</v>
      </c>
      <c r="G24" s="6">
        <f t="shared" si="1"/>
        <v>-775.79007264858251</v>
      </c>
      <c r="H24" s="3">
        <f t="shared" si="2"/>
        <v>1.2992048067349686</v>
      </c>
      <c r="I24" s="3">
        <f t="shared" si="3"/>
        <v>2.5177790057722009</v>
      </c>
      <c r="J24">
        <f t="shared" si="7"/>
        <v>-15.667030164922815</v>
      </c>
      <c r="K24">
        <f t="shared" si="7"/>
        <v>125.41270722176392</v>
      </c>
    </row>
    <row r="25" spans="1:11" x14ac:dyDescent="0.25">
      <c r="A25">
        <v>20</v>
      </c>
      <c r="B25">
        <v>70</v>
      </c>
      <c r="C25" s="4">
        <f t="shared" si="5"/>
        <v>1.2992048067349686</v>
      </c>
      <c r="D25" s="4">
        <f t="shared" si="5"/>
        <v>2.5177790057722009</v>
      </c>
      <c r="E25" s="4">
        <f t="shared" si="6"/>
        <v>51.65478492217899</v>
      </c>
      <c r="F25" s="6">
        <f t="shared" si="0"/>
        <v>-36.690430155642019</v>
      </c>
      <c r="G25" s="6">
        <f t="shared" si="1"/>
        <v>-733.80860311284039</v>
      </c>
      <c r="H25" s="3">
        <f t="shared" si="2"/>
        <v>1.3009817437513682</v>
      </c>
      <c r="I25" s="3">
        <f t="shared" si="3"/>
        <v>2.5138299481533708</v>
      </c>
      <c r="J25">
        <f t="shared" si="7"/>
        <v>-17.769370163994736</v>
      </c>
      <c r="K25">
        <f t="shared" si="7"/>
        <v>39.490576188303507</v>
      </c>
    </row>
    <row r="26" spans="1:11" x14ac:dyDescent="0.25">
      <c r="A26">
        <v>8</v>
      </c>
      <c r="B26">
        <v>46</v>
      </c>
      <c r="C26" s="4">
        <f t="shared" si="5"/>
        <v>1.3009817437513682</v>
      </c>
      <c r="D26" s="4">
        <f t="shared" si="5"/>
        <v>2.5138299481533708</v>
      </c>
      <c r="E26" s="4">
        <f t="shared" si="6"/>
        <v>21.411621328978335</v>
      </c>
      <c r="F26" s="6">
        <f t="shared" si="0"/>
        <v>-49.176757342043331</v>
      </c>
      <c r="G26" s="6">
        <f t="shared" si="1"/>
        <v>-393.41405873634665</v>
      </c>
      <c r="H26" s="3">
        <f t="shared" si="2"/>
        <v>1.3030727546395482</v>
      </c>
      <c r="I26" s="3">
        <f t="shared" si="3"/>
        <v>2.5142099368837871</v>
      </c>
      <c r="J26">
        <f t="shared" si="7"/>
        <v>-20.910108881799594</v>
      </c>
      <c r="K26">
        <f t="shared" si="7"/>
        <v>-3.7998873041615013</v>
      </c>
    </row>
    <row r="27" spans="1:11" x14ac:dyDescent="0.25">
      <c r="A27">
        <v>64</v>
      </c>
      <c r="B27">
        <v>158</v>
      </c>
      <c r="C27" s="4">
        <f t="shared" si="5"/>
        <v>1.3030727546395482</v>
      </c>
      <c r="D27" s="4">
        <f t="shared" si="5"/>
        <v>2.5142099368837871</v>
      </c>
      <c r="E27" s="4">
        <f t="shared" si="6"/>
        <v>162.21250871520192</v>
      </c>
      <c r="F27" s="6">
        <f t="shared" si="0"/>
        <v>8.425017430403841</v>
      </c>
      <c r="G27" s="6">
        <f t="shared" si="1"/>
        <v>539.20111554584582</v>
      </c>
      <c r="H27" s="3">
        <f t="shared" si="2"/>
        <v>1.3048704142646061</v>
      </c>
      <c r="I27" s="3">
        <f t="shared" si="3"/>
        <v>2.5091599155857032</v>
      </c>
      <c r="J27">
        <f t="shared" si="7"/>
        <v>-17.976596250579252</v>
      </c>
      <c r="K27">
        <f t="shared" si="7"/>
        <v>50.500212980839223</v>
      </c>
    </row>
    <row r="28" spans="1:11" x14ac:dyDescent="0.25">
      <c r="A28">
        <v>99</v>
      </c>
      <c r="B28">
        <v>228</v>
      </c>
      <c r="C28" s="4">
        <f t="shared" si="5"/>
        <v>1.3048704142646061</v>
      </c>
      <c r="D28" s="4">
        <f t="shared" si="5"/>
        <v>2.5091599155857032</v>
      </c>
      <c r="E28" s="4">
        <f t="shared" si="6"/>
        <v>249.71170205724923</v>
      </c>
      <c r="F28" s="6">
        <f t="shared" si="0"/>
        <v>43.423404114498453</v>
      </c>
      <c r="G28" s="6">
        <f t="shared" si="1"/>
        <v>4298.9170073353471</v>
      </c>
      <c r="H28" s="3">
        <f t="shared" si="2"/>
        <v>1.3060540738860134</v>
      </c>
      <c r="I28" s="3">
        <f t="shared" si="3"/>
        <v>2.4616257263440744</v>
      </c>
      <c r="J28">
        <f t="shared" si="7"/>
        <v>-11.836596214071484</v>
      </c>
      <c r="K28">
        <f t="shared" si="7"/>
        <v>475.34189241628991</v>
      </c>
    </row>
    <row r="29" spans="1:11" x14ac:dyDescent="0.25">
      <c r="A29">
        <v>70</v>
      </c>
      <c r="B29">
        <v>170</v>
      </c>
      <c r="C29" s="4">
        <f t="shared" si="5"/>
        <v>1.3060540738860134</v>
      </c>
      <c r="D29" s="4">
        <f t="shared" si="5"/>
        <v>2.4616257263440744</v>
      </c>
      <c r="E29" s="4">
        <f t="shared" si="6"/>
        <v>173.61985491797122</v>
      </c>
      <c r="F29" s="6">
        <f t="shared" si="0"/>
        <v>7.239709835942449</v>
      </c>
      <c r="G29" s="6">
        <f t="shared" si="1"/>
        <v>506.77968851597143</v>
      </c>
      <c r="H29" s="3">
        <f t="shared" si="2"/>
        <v>1.3070469704469203</v>
      </c>
      <c r="I29" s="3">
        <f t="shared" si="3"/>
        <v>2.4137771591414485</v>
      </c>
      <c r="J29">
        <f t="shared" si="7"/>
        <v>-9.9289656090700902</v>
      </c>
      <c r="K29">
        <f t="shared" si="7"/>
        <v>478.48567202625804</v>
      </c>
    </row>
    <row r="30" spans="1:11" x14ac:dyDescent="0.25">
      <c r="A30">
        <v>27</v>
      </c>
      <c r="B30">
        <v>84</v>
      </c>
      <c r="C30" s="4">
        <f t="shared" si="5"/>
        <v>1.3070469704469203</v>
      </c>
      <c r="D30" s="4">
        <f t="shared" si="5"/>
        <v>2.4137771591414485</v>
      </c>
      <c r="E30" s="4">
        <f t="shared" si="6"/>
        <v>66.479030267266026</v>
      </c>
      <c r="F30" s="6">
        <f t="shared" si="0"/>
        <v>-35.041939465467948</v>
      </c>
      <c r="G30" s="6">
        <f t="shared" si="1"/>
        <v>-946.13236556763457</v>
      </c>
      <c r="H30" s="3">
        <f t="shared" si="2"/>
        <v>1.3082909967463914</v>
      </c>
      <c r="I30" s="3">
        <f t="shared" si="3"/>
        <v>2.3801747723147617</v>
      </c>
      <c r="J30">
        <f t="shared" si="7"/>
        <v>-12.440262994709876</v>
      </c>
      <c r="K30">
        <f t="shared" si="7"/>
        <v>336.02386826686882</v>
      </c>
    </row>
    <row r="31" spans="1:11" x14ac:dyDescent="0.25">
      <c r="A31">
        <v>17</v>
      </c>
      <c r="B31">
        <v>64</v>
      </c>
      <c r="C31" s="4">
        <f t="shared" si="5"/>
        <v>1.3082909967463914</v>
      </c>
      <c r="D31" s="4">
        <f t="shared" si="5"/>
        <v>2.3801747723147617</v>
      </c>
      <c r="E31" s="4">
        <f t="shared" si="6"/>
        <v>41.771262126097341</v>
      </c>
      <c r="F31" s="6">
        <f t="shared" si="0"/>
        <v>-44.457475747805319</v>
      </c>
      <c r="G31" s="6">
        <f t="shared" si="1"/>
        <v>-755.77708771269045</v>
      </c>
      <c r="H31" s="3">
        <f t="shared" si="2"/>
        <v>1.3098551951733932</v>
      </c>
      <c r="I31" s="3">
        <f t="shared" si="3"/>
        <v>2.3574903950478703</v>
      </c>
      <c r="J31">
        <f t="shared" si="7"/>
        <v>-15.641984270019421</v>
      </c>
      <c r="K31">
        <f t="shared" si="7"/>
        <v>226.84377266891289</v>
      </c>
    </row>
    <row r="32" spans="1:11" x14ac:dyDescent="0.25">
      <c r="A32">
        <v>8</v>
      </c>
      <c r="B32">
        <v>46</v>
      </c>
      <c r="C32" s="4">
        <f t="shared" si="5"/>
        <v>1.3098551951733932</v>
      </c>
      <c r="D32" s="4">
        <f t="shared" si="5"/>
        <v>2.3574903950478703</v>
      </c>
      <c r="E32" s="4">
        <f t="shared" si="6"/>
        <v>20.169778355556357</v>
      </c>
      <c r="F32" s="6">
        <f t="shared" si="0"/>
        <v>-51.660443288887286</v>
      </c>
      <c r="G32" s="6">
        <f t="shared" si="1"/>
        <v>-413.28354631109829</v>
      </c>
      <c r="H32" s="3">
        <f t="shared" si="2"/>
        <v>1.3117795781905839</v>
      </c>
      <c r="I32" s="3">
        <f t="shared" si="3"/>
        <v>2.3412072909707793</v>
      </c>
      <c r="J32">
        <f t="shared" si="7"/>
        <v>-19.243830171906204</v>
      </c>
      <c r="K32">
        <f t="shared" si="7"/>
        <v>162.83104077091178</v>
      </c>
    </row>
    <row r="33" spans="1:13" x14ac:dyDescent="0.25">
      <c r="A33" s="6"/>
      <c r="B33" s="6"/>
      <c r="H33" s="3"/>
      <c r="J33">
        <v>-19.279531290451075</v>
      </c>
      <c r="K33">
        <v>162.8396203477341</v>
      </c>
      <c r="M33"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F34" sqref="F34"/>
    </sheetView>
  </sheetViews>
  <sheetFormatPr defaultRowHeight="15" x14ac:dyDescent="0.25"/>
  <cols>
    <col min="2" max="2" width="6.28515625" customWidth="1"/>
    <col min="3" max="3" width="8.85546875" style="4" customWidth="1"/>
    <col min="4" max="4" width="10.85546875" style="4" bestFit="1" customWidth="1"/>
    <col min="5" max="5" width="9.140625" style="4" bestFit="1" customWidth="1"/>
    <col min="6" max="6" width="10.85546875" style="6" bestFit="1" customWidth="1"/>
    <col min="7" max="7" width="10.140625" style="6" bestFit="1" customWidth="1"/>
    <col min="8" max="8" width="8.28515625" bestFit="1" customWidth="1"/>
    <col min="9" max="9" width="5.85546875" bestFit="1" customWidth="1"/>
    <col min="10" max="10" width="1.85546875" bestFit="1" customWidth="1"/>
    <col min="11" max="11" width="4.140625" bestFit="1" customWidth="1"/>
  </cols>
  <sheetData>
    <row r="1" spans="1:9" x14ac:dyDescent="0.25">
      <c r="B1" s="10" t="s">
        <v>21</v>
      </c>
      <c r="C1" s="4">
        <v>1</v>
      </c>
      <c r="D1" s="11" t="s">
        <v>14</v>
      </c>
      <c r="F1" s="6">
        <v>28.092710228958623</v>
      </c>
      <c r="G1" s="6">
        <v>1918.710769527765</v>
      </c>
    </row>
    <row r="2" spans="1:9" x14ac:dyDescent="0.25">
      <c r="B2" s="10" t="s">
        <v>22</v>
      </c>
      <c r="C2" s="4">
        <v>1</v>
      </c>
      <c r="D2">
        <v>1E-3</v>
      </c>
      <c r="F2" s="8">
        <f>$D$2/F1</f>
        <v>3.5596423123646386E-5</v>
      </c>
      <c r="G2" s="8">
        <f>$D$2/G1</f>
        <v>5.2118329447127722E-7</v>
      </c>
    </row>
    <row r="3" spans="1:9" s="2" customFormat="1" x14ac:dyDescent="0.25">
      <c r="A3" s="2" t="s">
        <v>15</v>
      </c>
      <c r="B3" s="2" t="s">
        <v>16</v>
      </c>
      <c r="C3" s="5" t="s">
        <v>21</v>
      </c>
      <c r="D3" s="5" t="s">
        <v>22</v>
      </c>
      <c r="E3" s="5" t="s">
        <v>18</v>
      </c>
      <c r="F3" s="7" t="s">
        <v>6</v>
      </c>
      <c r="G3" s="7" t="s">
        <v>9</v>
      </c>
      <c r="H3" s="2" t="s">
        <v>13</v>
      </c>
      <c r="I3" s="2" t="s">
        <v>12</v>
      </c>
    </row>
    <row r="4" spans="1:9" x14ac:dyDescent="0.25">
      <c r="A4">
        <v>14</v>
      </c>
      <c r="B4">
        <v>58</v>
      </c>
      <c r="C4" s="4">
        <f>C1</f>
        <v>1</v>
      </c>
      <c r="D4" s="4">
        <f>C2</f>
        <v>1</v>
      </c>
      <c r="E4" s="4">
        <f>C4+D4*A4</f>
        <v>15</v>
      </c>
      <c r="F4" s="6">
        <f t="shared" ref="F4:F32" si="0">2*(D4*A4+C4-B4)</f>
        <v>-86</v>
      </c>
      <c r="G4" s="6">
        <f t="shared" ref="G4:G32" si="1">F4*A4</f>
        <v>-1204</v>
      </c>
      <c r="H4" s="3">
        <f t="shared" ref="H4:H32" si="2">C4-F4*F$2</f>
        <v>1.0030612923886335</v>
      </c>
      <c r="I4" s="3">
        <f t="shared" ref="I4:I32" si="3">D4-G4*G$2</f>
        <v>1.0006275046865434</v>
      </c>
    </row>
    <row r="5" spans="1:9" x14ac:dyDescent="0.25">
      <c r="A5">
        <v>86</v>
      </c>
      <c r="B5">
        <v>202</v>
      </c>
      <c r="C5" s="4">
        <f>H4</f>
        <v>1.0030612923886335</v>
      </c>
      <c r="D5" s="4">
        <f>I4</f>
        <v>1.0006275046865434</v>
      </c>
      <c r="E5" s="4">
        <f>C5+D5*A5</f>
        <v>87.057026695431361</v>
      </c>
      <c r="F5" s="6">
        <f t="shared" si="0"/>
        <v>-229.88594660913728</v>
      </c>
      <c r="G5" s="6">
        <f t="shared" si="1"/>
        <v>-19770.191408385806</v>
      </c>
      <c r="H5" s="3">
        <f t="shared" si="2"/>
        <v>1.0112444098143123</v>
      </c>
      <c r="I5" s="3">
        <f t="shared" si="3"/>
        <v>1.0109313981770935</v>
      </c>
    </row>
    <row r="6" spans="1:9" x14ac:dyDescent="0.25">
      <c r="A6">
        <v>28</v>
      </c>
      <c r="B6">
        <v>86</v>
      </c>
      <c r="C6" s="4">
        <f>H5</f>
        <v>1.0112444098143123</v>
      </c>
      <c r="D6" s="4">
        <f>I5</f>
        <v>1.0109313981770935</v>
      </c>
      <c r="E6" s="4">
        <f>C6+D6*A6</f>
        <v>29.317323558772934</v>
      </c>
      <c r="F6" s="6">
        <f t="shared" si="0"/>
        <v>-113.36535288245413</v>
      </c>
      <c r="G6" s="6">
        <f t="shared" si="1"/>
        <v>-3174.2298807087159</v>
      </c>
      <c r="H6" s="3">
        <f>C6-F6*F$2</f>
        <v>1.0152798108830776</v>
      </c>
      <c r="I6" s="3">
        <f t="shared" si="3"/>
        <v>1.0125857537637304</v>
      </c>
    </row>
    <row r="7" spans="1:9" x14ac:dyDescent="0.25">
      <c r="A7">
        <v>51</v>
      </c>
      <c r="B7">
        <v>132</v>
      </c>
      <c r="C7" s="4">
        <f t="shared" ref="C7:C32" si="4">H6</f>
        <v>1.0152798108830776</v>
      </c>
      <c r="D7" s="4">
        <f t="shared" ref="D7:D32" si="5">I6</f>
        <v>1.0125857537637304</v>
      </c>
      <c r="E7" s="4">
        <f t="shared" ref="E7:E32" si="6">C7+D7*A7</f>
        <v>52.657153252833332</v>
      </c>
      <c r="F7" s="6">
        <f t="shared" si="0"/>
        <v>-158.68569349433335</v>
      </c>
      <c r="G7" s="6">
        <f t="shared" si="1"/>
        <v>-8092.9703682110012</v>
      </c>
      <c r="H7" s="3">
        <f t="shared" si="2"/>
        <v>1.0209284539723711</v>
      </c>
      <c r="I7" s="3">
        <f t="shared" si="3"/>
        <v>1.016803674722293</v>
      </c>
    </row>
    <row r="8" spans="1:9" x14ac:dyDescent="0.25">
      <c r="A8">
        <v>28</v>
      </c>
      <c r="B8">
        <v>86</v>
      </c>
      <c r="C8" s="4">
        <f t="shared" si="4"/>
        <v>1.0209284539723711</v>
      </c>
      <c r="D8" s="4">
        <f t="shared" si="5"/>
        <v>1.016803674722293</v>
      </c>
      <c r="E8" s="4">
        <f t="shared" si="6"/>
        <v>29.491431346196574</v>
      </c>
      <c r="F8" s="6">
        <f t="shared" si="0"/>
        <v>-113.01713730760684</v>
      </c>
      <c r="G8" s="6">
        <f t="shared" si="1"/>
        <v>-3164.4798446129917</v>
      </c>
      <c r="H8" s="3">
        <f t="shared" si="2"/>
        <v>1.0249514598121958</v>
      </c>
      <c r="I8" s="3">
        <f t="shared" si="3"/>
        <v>1.0184529487529963</v>
      </c>
    </row>
    <row r="9" spans="1:9" x14ac:dyDescent="0.25">
      <c r="A9">
        <v>29</v>
      </c>
      <c r="B9">
        <v>88</v>
      </c>
      <c r="C9" s="4">
        <f t="shared" si="4"/>
        <v>1.0249514598121958</v>
      </c>
      <c r="D9" s="4">
        <f t="shared" si="5"/>
        <v>1.0184529487529963</v>
      </c>
      <c r="E9" s="4">
        <f t="shared" si="6"/>
        <v>30.560086973649089</v>
      </c>
      <c r="F9" s="6">
        <f t="shared" si="0"/>
        <v>-114.87982605270182</v>
      </c>
      <c r="G9" s="6">
        <f t="shared" si="1"/>
        <v>-3331.5149555283529</v>
      </c>
      <c r="H9" s="3">
        <f t="shared" si="2"/>
        <v>1.0290407707087388</v>
      </c>
      <c r="I9" s="3">
        <f t="shared" si="3"/>
        <v>1.0201892786930988</v>
      </c>
    </row>
    <row r="10" spans="1:9" x14ac:dyDescent="0.25">
      <c r="A10">
        <v>72</v>
      </c>
      <c r="B10">
        <v>174</v>
      </c>
      <c r="C10" s="4">
        <f t="shared" si="4"/>
        <v>1.0290407707087388</v>
      </c>
      <c r="D10" s="4">
        <f t="shared" si="5"/>
        <v>1.0201892786930988</v>
      </c>
      <c r="E10" s="4">
        <f t="shared" si="6"/>
        <v>74.48266883661185</v>
      </c>
      <c r="F10" s="6">
        <f t="shared" si="0"/>
        <v>-199.0346623267763</v>
      </c>
      <c r="G10" s="6">
        <f t="shared" si="1"/>
        <v>-14330.495687527893</v>
      </c>
      <c r="H10" s="3">
        <f t="shared" si="2"/>
        <v>1.0361256927651947</v>
      </c>
      <c r="I10" s="3">
        <f t="shared" si="3"/>
        <v>1.0276580936469311</v>
      </c>
    </row>
    <row r="11" spans="1:9" x14ac:dyDescent="0.25">
      <c r="A11">
        <v>62</v>
      </c>
      <c r="B11">
        <v>154</v>
      </c>
      <c r="C11" s="4">
        <f t="shared" si="4"/>
        <v>1.0361256927651947</v>
      </c>
      <c r="D11" s="4">
        <f t="shared" si="5"/>
        <v>1.0276580936469311</v>
      </c>
      <c r="E11" s="4">
        <f t="shared" si="6"/>
        <v>64.750927498874915</v>
      </c>
      <c r="F11" s="6">
        <f t="shared" si="0"/>
        <v>-178.49814500225017</v>
      </c>
      <c r="G11" s="6">
        <f t="shared" si="1"/>
        <v>-11066.88499013951</v>
      </c>
      <c r="H11" s="3">
        <f t="shared" si="2"/>
        <v>1.0424795882614808</v>
      </c>
      <c r="I11" s="3">
        <f t="shared" si="3"/>
        <v>1.0334259692256267</v>
      </c>
    </row>
    <row r="12" spans="1:9" x14ac:dyDescent="0.25">
      <c r="A12">
        <v>84</v>
      </c>
      <c r="B12">
        <v>198</v>
      </c>
      <c r="C12" s="4">
        <f t="shared" si="4"/>
        <v>1.0424795882614808</v>
      </c>
      <c r="D12" s="4">
        <f t="shared" si="5"/>
        <v>1.0334259692256267</v>
      </c>
      <c r="E12" s="4">
        <f t="shared" si="6"/>
        <v>87.850261003214129</v>
      </c>
      <c r="F12" s="6">
        <f t="shared" si="0"/>
        <v>-220.29947799357174</v>
      </c>
      <c r="G12" s="6">
        <f t="shared" si="1"/>
        <v>-18505.156151460025</v>
      </c>
      <c r="H12" s="3">
        <f t="shared" si="2"/>
        <v>1.0503214616940584</v>
      </c>
      <c r="I12" s="3">
        <f t="shared" si="3"/>
        <v>1.0430705474733499</v>
      </c>
    </row>
    <row r="13" spans="1:9" x14ac:dyDescent="0.25">
      <c r="A13">
        <v>15</v>
      </c>
      <c r="B13">
        <v>60</v>
      </c>
      <c r="C13" s="4">
        <f t="shared" si="4"/>
        <v>1.0503214616940584</v>
      </c>
      <c r="D13" s="4">
        <f t="shared" si="5"/>
        <v>1.0430705474733499</v>
      </c>
      <c r="E13" s="4">
        <f t="shared" si="6"/>
        <v>16.696379673794308</v>
      </c>
      <c r="F13" s="6">
        <f t="shared" si="0"/>
        <v>-86.607240652411377</v>
      </c>
      <c r="G13" s="6">
        <f t="shared" si="1"/>
        <v>-1299.1086097861707</v>
      </c>
      <c r="H13" s="3">
        <f t="shared" si="2"/>
        <v>1.053404369677893</v>
      </c>
      <c r="I13" s="3">
        <f t="shared" si="3"/>
        <v>1.0437476211784742</v>
      </c>
    </row>
    <row r="14" spans="1:9" x14ac:dyDescent="0.25">
      <c r="A14">
        <v>42</v>
      </c>
      <c r="B14">
        <v>114</v>
      </c>
      <c r="C14" s="4">
        <f t="shared" si="4"/>
        <v>1.053404369677893</v>
      </c>
      <c r="D14" s="4">
        <f t="shared" si="5"/>
        <v>1.0437476211784742</v>
      </c>
      <c r="E14" s="4">
        <f t="shared" si="6"/>
        <v>44.890804459173808</v>
      </c>
      <c r="F14" s="6">
        <f t="shared" si="0"/>
        <v>-138.21839108165238</v>
      </c>
      <c r="G14" s="6">
        <f t="shared" si="1"/>
        <v>-5805.1724254294004</v>
      </c>
      <c r="H14" s="3">
        <f t="shared" si="2"/>
        <v>1.0583244500103051</v>
      </c>
      <c r="I14" s="3">
        <f t="shared" si="3"/>
        <v>1.0467731800681332</v>
      </c>
    </row>
    <row r="15" spans="1:9" x14ac:dyDescent="0.25">
      <c r="A15">
        <v>62</v>
      </c>
      <c r="B15">
        <v>154</v>
      </c>
      <c r="C15" s="4">
        <f t="shared" si="4"/>
        <v>1.0583244500103051</v>
      </c>
      <c r="D15" s="4">
        <f>I14</f>
        <v>1.0467731800681332</v>
      </c>
      <c r="E15" s="4">
        <f t="shared" si="6"/>
        <v>65.958261614234559</v>
      </c>
      <c r="F15" s="6">
        <f t="shared" si="0"/>
        <v>-176.08347677153088</v>
      </c>
      <c r="G15" s="6">
        <f t="shared" si="1"/>
        <v>-10917.175559834915</v>
      </c>
      <c r="H15" s="3">
        <f t="shared" si="2"/>
        <v>1.0645923919545472</v>
      </c>
      <c r="I15" s="3">
        <f t="shared" si="3"/>
        <v>1.0524630295927293</v>
      </c>
    </row>
    <row r="16" spans="1:9" x14ac:dyDescent="0.25">
      <c r="A16">
        <v>47</v>
      </c>
      <c r="B16">
        <v>124</v>
      </c>
      <c r="C16" s="4">
        <f t="shared" si="4"/>
        <v>1.0645923919545472</v>
      </c>
      <c r="D16" s="4">
        <f t="shared" si="5"/>
        <v>1.0524630295927293</v>
      </c>
      <c r="E16" s="4">
        <f t="shared" si="6"/>
        <v>50.530354782812829</v>
      </c>
      <c r="F16" s="6">
        <f t="shared" si="0"/>
        <v>-146.93929043437436</v>
      </c>
      <c r="G16" s="6">
        <f t="shared" si="1"/>
        <v>-6906.1466504155951</v>
      </c>
      <c r="H16" s="3">
        <f t="shared" si="2"/>
        <v>1.0698229051103376</v>
      </c>
      <c r="I16" s="3">
        <f t="shared" si="3"/>
        <v>1.0560623978560946</v>
      </c>
    </row>
    <row r="17" spans="1:9" x14ac:dyDescent="0.25">
      <c r="A17">
        <v>35</v>
      </c>
      <c r="B17">
        <v>100</v>
      </c>
      <c r="C17" s="4">
        <f t="shared" si="4"/>
        <v>1.0698229051103376</v>
      </c>
      <c r="D17" s="4">
        <f t="shared" si="5"/>
        <v>1.0560623978560946</v>
      </c>
      <c r="E17" s="4">
        <f t="shared" si="6"/>
        <v>38.032006830073648</v>
      </c>
      <c r="F17" s="6">
        <f t="shared" si="0"/>
        <v>-123.9359863398527</v>
      </c>
      <c r="G17" s="6">
        <f t="shared" si="1"/>
        <v>-4337.7595218948445</v>
      </c>
      <c r="H17" s="3">
        <f t="shared" si="2"/>
        <v>1.0742345829203375</v>
      </c>
      <c r="I17" s="3">
        <f t="shared" si="3"/>
        <v>1.0583231656543399</v>
      </c>
    </row>
    <row r="18" spans="1:9" x14ac:dyDescent="0.25">
      <c r="A18">
        <v>9</v>
      </c>
      <c r="B18">
        <v>48</v>
      </c>
      <c r="C18" s="4">
        <f t="shared" si="4"/>
        <v>1.0742345829203375</v>
      </c>
      <c r="D18" s="4">
        <f t="shared" si="5"/>
        <v>1.0583231656543399</v>
      </c>
      <c r="E18" s="4">
        <f t="shared" si="6"/>
        <v>10.599143073809397</v>
      </c>
      <c r="F18" s="6">
        <f t="shared" si="0"/>
        <v>-74.801713852381198</v>
      </c>
      <c r="G18" s="6">
        <f t="shared" si="1"/>
        <v>-673.21542467143081</v>
      </c>
      <c r="H18" s="3">
        <f t="shared" si="2"/>
        <v>1.0768972563770007</v>
      </c>
      <c r="I18" s="3">
        <f t="shared" si="3"/>
        <v>1.0586740342872591</v>
      </c>
    </row>
    <row r="19" spans="1:9" x14ac:dyDescent="0.25">
      <c r="A19">
        <v>38</v>
      </c>
      <c r="B19">
        <v>106</v>
      </c>
      <c r="C19" s="4">
        <f t="shared" si="4"/>
        <v>1.0768972563770007</v>
      </c>
      <c r="D19" s="4">
        <f t="shared" si="5"/>
        <v>1.0586740342872591</v>
      </c>
      <c r="E19" s="4">
        <f t="shared" si="6"/>
        <v>41.306510559292853</v>
      </c>
      <c r="F19" s="6">
        <f t="shared" si="0"/>
        <v>-129.38697888141428</v>
      </c>
      <c r="G19" s="6">
        <f t="shared" si="1"/>
        <v>-4916.7051974937422</v>
      </c>
      <c r="H19" s="3">
        <f t="shared" si="2"/>
        <v>1.0815029700239538</v>
      </c>
      <c r="I19" s="3">
        <f t="shared" si="3"/>
        <v>1.0612365389000329</v>
      </c>
    </row>
    <row r="20" spans="1:9" x14ac:dyDescent="0.25">
      <c r="A20">
        <v>44</v>
      </c>
      <c r="B20">
        <v>118</v>
      </c>
      <c r="C20" s="4">
        <f t="shared" si="4"/>
        <v>1.0815029700239538</v>
      </c>
      <c r="D20" s="4">
        <f t="shared" si="5"/>
        <v>1.0612365389000329</v>
      </c>
      <c r="E20" s="4">
        <f t="shared" si="6"/>
        <v>47.775910681625405</v>
      </c>
      <c r="F20" s="6">
        <f t="shared" si="0"/>
        <v>-140.44817863674919</v>
      </c>
      <c r="G20" s="6">
        <f t="shared" si="1"/>
        <v>-6179.719860016964</v>
      </c>
      <c r="H20" s="3">
        <f t="shared" si="2"/>
        <v>1.086502422817653</v>
      </c>
      <c r="I20" s="3">
        <f t="shared" si="3"/>
        <v>1.0644573056555862</v>
      </c>
    </row>
    <row r="21" spans="1:9" x14ac:dyDescent="0.25">
      <c r="A21">
        <v>99</v>
      </c>
      <c r="B21">
        <v>228</v>
      </c>
      <c r="C21" s="4">
        <f t="shared" si="4"/>
        <v>1.086502422817653</v>
      </c>
      <c r="D21" s="4">
        <f t="shared" si="5"/>
        <v>1.0644573056555862</v>
      </c>
      <c r="E21" s="4">
        <f t="shared" si="6"/>
        <v>106.46777568272068</v>
      </c>
      <c r="F21" s="6">
        <f t="shared" si="0"/>
        <v>-243.06444863455863</v>
      </c>
      <c r="G21" s="6">
        <f t="shared" si="1"/>
        <v>-24063.380414821306</v>
      </c>
      <c r="H21" s="3">
        <f t="shared" si="2"/>
        <v>1.0951546477775644</v>
      </c>
      <c r="I21" s="3">
        <f t="shared" si="3"/>
        <v>1.0769987375362984</v>
      </c>
    </row>
    <row r="22" spans="1:9" x14ac:dyDescent="0.25">
      <c r="A22">
        <v>13</v>
      </c>
      <c r="B22">
        <v>56</v>
      </c>
      <c r="C22" s="4">
        <f t="shared" si="4"/>
        <v>1.0951546477775644</v>
      </c>
      <c r="D22" s="4">
        <f t="shared" si="5"/>
        <v>1.0769987375362984</v>
      </c>
      <c r="E22" s="4">
        <f t="shared" si="6"/>
        <v>15.096138235749443</v>
      </c>
      <c r="F22" s="6">
        <f t="shared" si="0"/>
        <v>-81.807723528501114</v>
      </c>
      <c r="G22" s="6">
        <f t="shared" si="1"/>
        <v>-1063.5004058705144</v>
      </c>
      <c r="H22" s="3">
        <f t="shared" si="2"/>
        <v>1.0980667101190673</v>
      </c>
      <c r="I22" s="3">
        <f t="shared" si="3"/>
        <v>1.0775530161815015</v>
      </c>
    </row>
    <row r="23" spans="1:9" x14ac:dyDescent="0.25">
      <c r="A23">
        <v>21</v>
      </c>
      <c r="B23">
        <v>72</v>
      </c>
      <c r="C23" s="4">
        <f t="shared" si="4"/>
        <v>1.0980667101190673</v>
      </c>
      <c r="D23" s="4">
        <f t="shared" si="5"/>
        <v>1.0775530161815015</v>
      </c>
      <c r="E23" s="4">
        <f t="shared" si="6"/>
        <v>23.726680049930597</v>
      </c>
      <c r="F23" s="6">
        <f t="shared" si="0"/>
        <v>-96.546639900138814</v>
      </c>
      <c r="G23" s="6">
        <f t="shared" si="1"/>
        <v>-2027.4794379029152</v>
      </c>
      <c r="H23" s="3">
        <f t="shared" si="2"/>
        <v>1.1015034251641189</v>
      </c>
      <c r="I23" s="3">
        <f t="shared" si="3"/>
        <v>1.0786097045944205</v>
      </c>
    </row>
    <row r="24" spans="1:9" x14ac:dyDescent="0.25">
      <c r="A24">
        <v>28</v>
      </c>
      <c r="B24">
        <v>86</v>
      </c>
      <c r="C24" s="4">
        <f t="shared" si="4"/>
        <v>1.1015034251641189</v>
      </c>
      <c r="D24" s="4">
        <f t="shared" si="5"/>
        <v>1.0786097045944205</v>
      </c>
      <c r="E24" s="4">
        <f t="shared" si="6"/>
        <v>31.302575153807894</v>
      </c>
      <c r="F24" s="6">
        <f t="shared" si="0"/>
        <v>-109.39484969238421</v>
      </c>
      <c r="G24" s="6">
        <f t="shared" si="1"/>
        <v>-3063.0557913867578</v>
      </c>
      <c r="H24" s="3">
        <f t="shared" si="2"/>
        <v>1.1053974905213166</v>
      </c>
      <c r="I24" s="3">
        <f t="shared" si="3"/>
        <v>1.0802061181029248</v>
      </c>
    </row>
    <row r="25" spans="1:9" x14ac:dyDescent="0.25">
      <c r="A25">
        <v>20</v>
      </c>
      <c r="B25">
        <v>70</v>
      </c>
      <c r="C25" s="4">
        <f t="shared" si="4"/>
        <v>1.1053974905213166</v>
      </c>
      <c r="D25" s="4">
        <f t="shared" si="5"/>
        <v>1.0802061181029248</v>
      </c>
      <c r="E25" s="4">
        <f t="shared" si="6"/>
        <v>22.709519852579813</v>
      </c>
      <c r="F25" s="6">
        <f t="shared" si="0"/>
        <v>-94.580960294840366</v>
      </c>
      <c r="G25" s="6">
        <f t="shared" si="1"/>
        <v>-1891.6192058968072</v>
      </c>
      <c r="H25" s="3">
        <f t="shared" si="2"/>
        <v>1.1087642344034125</v>
      </c>
      <c r="I25" s="3">
        <f t="shared" si="3"/>
        <v>1.0811919984325391</v>
      </c>
    </row>
    <row r="26" spans="1:9" x14ac:dyDescent="0.25">
      <c r="A26">
        <v>8</v>
      </c>
      <c r="B26">
        <v>46</v>
      </c>
      <c r="C26" s="4">
        <f t="shared" si="4"/>
        <v>1.1087642344034125</v>
      </c>
      <c r="D26" s="4">
        <f t="shared" si="5"/>
        <v>1.0811919984325391</v>
      </c>
      <c r="E26" s="4">
        <f t="shared" si="6"/>
        <v>9.7583002218637258</v>
      </c>
      <c r="F26" s="6">
        <f t="shared" si="0"/>
        <v>-72.483399556272545</v>
      </c>
      <c r="G26" s="6">
        <f t="shared" si="1"/>
        <v>-579.86719645018036</v>
      </c>
      <c r="H26" s="3">
        <f t="shared" si="2"/>
        <v>1.111344384163458</v>
      </c>
      <c r="I26" s="3">
        <f t="shared" si="3"/>
        <v>1.0814942155283409</v>
      </c>
    </row>
    <row r="27" spans="1:9" x14ac:dyDescent="0.25">
      <c r="A27">
        <v>64</v>
      </c>
      <c r="B27">
        <v>158</v>
      </c>
      <c r="C27" s="4">
        <f t="shared" si="4"/>
        <v>1.111344384163458</v>
      </c>
      <c r="D27" s="4">
        <f t="shared" si="5"/>
        <v>1.0814942155283409</v>
      </c>
      <c r="E27" s="4">
        <f t="shared" si="6"/>
        <v>70.326974177977277</v>
      </c>
      <c r="F27" s="6">
        <f t="shared" si="0"/>
        <v>-175.34605164404545</v>
      </c>
      <c r="G27" s="6">
        <f t="shared" si="1"/>
        <v>-11222.147305218909</v>
      </c>
      <c r="H27" s="3">
        <f t="shared" si="2"/>
        <v>1.1175860764108403</v>
      </c>
      <c r="I27" s="3">
        <f t="shared" si="3"/>
        <v>1.0873430112319169</v>
      </c>
    </row>
    <row r="28" spans="1:9" x14ac:dyDescent="0.25">
      <c r="A28">
        <v>99</v>
      </c>
      <c r="B28">
        <v>228</v>
      </c>
      <c r="C28" s="4">
        <f t="shared" si="4"/>
        <v>1.1175860764108403</v>
      </c>
      <c r="D28" s="4">
        <f t="shared" si="5"/>
        <v>1.0873430112319169</v>
      </c>
      <c r="E28" s="4">
        <f t="shared" si="6"/>
        <v>108.76454418837062</v>
      </c>
      <c r="F28" s="6">
        <f t="shared" si="0"/>
        <v>-238.47091162325876</v>
      </c>
      <c r="G28" s="6">
        <f t="shared" si="1"/>
        <v>-23608.620250702617</v>
      </c>
      <c r="H28" s="3">
        <f t="shared" si="2"/>
        <v>1.1260747878836634</v>
      </c>
      <c r="I28" s="3">
        <f t="shared" si="3"/>
        <v>1.0996474297120995</v>
      </c>
    </row>
    <row r="29" spans="1:9" x14ac:dyDescent="0.25">
      <c r="A29">
        <v>70</v>
      </c>
      <c r="B29">
        <v>170</v>
      </c>
      <c r="C29" s="4">
        <f t="shared" si="4"/>
        <v>1.1260747878836634</v>
      </c>
      <c r="D29" s="4">
        <f t="shared" si="5"/>
        <v>1.0996474297120995</v>
      </c>
      <c r="E29" s="4">
        <f t="shared" si="6"/>
        <v>78.101394867730633</v>
      </c>
      <c r="F29" s="6">
        <f t="shared" si="0"/>
        <v>-183.79721026453873</v>
      </c>
      <c r="G29" s="6">
        <f t="shared" si="1"/>
        <v>-12865.804718517711</v>
      </c>
      <c r="H29" s="3">
        <f t="shared" si="2"/>
        <v>1.1326173111491857</v>
      </c>
      <c r="I29" s="3">
        <f t="shared" si="3"/>
        <v>1.1063528722013207</v>
      </c>
    </row>
    <row r="30" spans="1:9" x14ac:dyDescent="0.25">
      <c r="A30">
        <v>27</v>
      </c>
      <c r="B30">
        <v>84</v>
      </c>
      <c r="C30" s="4">
        <f t="shared" si="4"/>
        <v>1.1326173111491857</v>
      </c>
      <c r="D30" s="4">
        <f t="shared" si="5"/>
        <v>1.1063528722013207</v>
      </c>
      <c r="E30" s="4">
        <f t="shared" si="6"/>
        <v>31.004144860584844</v>
      </c>
      <c r="F30" s="6">
        <f t="shared" si="0"/>
        <v>-105.99171027883031</v>
      </c>
      <c r="G30" s="6">
        <f t="shared" si="1"/>
        <v>-2861.7761775284184</v>
      </c>
      <c r="H30" s="3">
        <f t="shared" si="2"/>
        <v>1.1363902369158698</v>
      </c>
      <c r="I30" s="3">
        <f t="shared" si="3"/>
        <v>1.1078443821375643</v>
      </c>
    </row>
    <row r="31" spans="1:9" x14ac:dyDescent="0.25">
      <c r="A31">
        <v>17</v>
      </c>
      <c r="B31">
        <v>64</v>
      </c>
      <c r="C31" s="4">
        <f t="shared" si="4"/>
        <v>1.1363902369158698</v>
      </c>
      <c r="D31" s="4">
        <f t="shared" si="5"/>
        <v>1.1078443821375643</v>
      </c>
      <c r="E31" s="4">
        <f t="shared" si="6"/>
        <v>19.969744733254462</v>
      </c>
      <c r="F31" s="6">
        <f t="shared" si="0"/>
        <v>-88.060510533491083</v>
      </c>
      <c r="G31" s="6">
        <f t="shared" si="1"/>
        <v>-1497.0286790693485</v>
      </c>
      <c r="H31" s="3">
        <f t="shared" si="2"/>
        <v>1.1395248761093042</v>
      </c>
      <c r="I31" s="3">
        <f t="shared" si="3"/>
        <v>1.1086246084764397</v>
      </c>
    </row>
    <row r="32" spans="1:9" x14ac:dyDescent="0.25">
      <c r="A32">
        <v>8</v>
      </c>
      <c r="B32">
        <v>46</v>
      </c>
      <c r="C32" s="4">
        <f t="shared" si="4"/>
        <v>1.1395248761093042</v>
      </c>
      <c r="D32" s="4">
        <f t="shared" si="5"/>
        <v>1.1086246084764397</v>
      </c>
      <c r="E32" s="4">
        <f t="shared" si="6"/>
        <v>10.008521743920822</v>
      </c>
      <c r="F32" s="6">
        <f t="shared" si="0"/>
        <v>-71.982956512158353</v>
      </c>
      <c r="G32" s="6">
        <f t="shared" si="1"/>
        <v>-575.86365209726682</v>
      </c>
      <c r="H32" s="3">
        <f t="shared" si="2"/>
        <v>1.142087211887002</v>
      </c>
      <c r="I32" s="3">
        <f t="shared" si="3"/>
        <v>1.108924738991806</v>
      </c>
    </row>
    <row r="33" spans="1:11" x14ac:dyDescent="0.25">
      <c r="A33" s="6"/>
      <c r="B33" s="6"/>
      <c r="F33" s="6">
        <f>SQRT(SUMSQ(F4:F32))/COUNT(F4:F32)</f>
        <v>27.319962416863692</v>
      </c>
      <c r="G33" s="6">
        <f>SQRT(SUMSQ(G4:G32))/COUNT(G4:G32)</f>
        <v>1857.066741115646</v>
      </c>
      <c r="H33" s="3"/>
      <c r="K33" s="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defaultRowHeight="15" x14ac:dyDescent="0.25"/>
  <cols>
    <col min="3" max="3" width="8.85546875" style="4" customWidth="1"/>
    <col min="4" max="4" width="10.85546875" style="4" bestFit="1" customWidth="1"/>
    <col min="5" max="5" width="9.140625" style="4" bestFit="1" customWidth="1"/>
    <col min="6" max="6" width="10.85546875" style="6" bestFit="1" customWidth="1"/>
    <col min="7" max="7" width="10.140625" style="6" bestFit="1" customWidth="1"/>
    <col min="8" max="8" width="8.28515625" bestFit="1" customWidth="1"/>
    <col min="9" max="9" width="17" customWidth="1"/>
    <col min="10" max="10" width="8.42578125" customWidth="1"/>
    <col min="11" max="11" width="19.5703125" customWidth="1"/>
  </cols>
  <sheetData>
    <row r="1" spans="1:11" x14ac:dyDescent="0.25">
      <c r="B1" t="s">
        <v>21</v>
      </c>
      <c r="C1" s="4">
        <v>1</v>
      </c>
      <c r="D1" s="4" t="s">
        <v>14</v>
      </c>
      <c r="J1">
        <v>0.9</v>
      </c>
      <c r="K1">
        <f>1-J1</f>
        <v>9.9999999999999978E-2</v>
      </c>
    </row>
    <row r="2" spans="1:11" x14ac:dyDescent="0.25">
      <c r="B2" t="s">
        <v>22</v>
      </c>
      <c r="C2" s="4">
        <v>1</v>
      </c>
      <c r="D2">
        <v>0.02</v>
      </c>
      <c r="F2" s="8"/>
      <c r="G2" s="8"/>
    </row>
    <row r="3" spans="1:11" s="2" customFormat="1" x14ac:dyDescent="0.25">
      <c r="A3" s="2" t="s">
        <v>15</v>
      </c>
      <c r="B3" s="2" t="s">
        <v>16</v>
      </c>
      <c r="C3" s="5" t="s">
        <v>21</v>
      </c>
      <c r="D3" s="5" t="s">
        <v>22</v>
      </c>
      <c r="E3" s="5" t="s">
        <v>18</v>
      </c>
      <c r="F3" s="7" t="s">
        <v>6</v>
      </c>
      <c r="G3" s="7" t="s">
        <v>9</v>
      </c>
      <c r="H3" s="2" t="s">
        <v>13</v>
      </c>
      <c r="I3" s="2" t="s">
        <v>12</v>
      </c>
      <c r="J3">
        <f>J33</f>
        <v>9309.6314749795092</v>
      </c>
      <c r="K3">
        <f>K33</f>
        <v>38847505.049484089</v>
      </c>
    </row>
    <row r="4" spans="1:11" x14ac:dyDescent="0.25">
      <c r="A4">
        <v>14</v>
      </c>
      <c r="B4">
        <v>58</v>
      </c>
      <c r="C4" s="4">
        <f>C1</f>
        <v>1</v>
      </c>
      <c r="D4" s="4">
        <f>C2</f>
        <v>1</v>
      </c>
      <c r="E4" s="4">
        <f>C4+D4*A4</f>
        <v>15</v>
      </c>
      <c r="F4" s="6">
        <f t="shared" ref="F4:F32" si="0">2*(D4*A4+C4-B4)</f>
        <v>-86</v>
      </c>
      <c r="G4" s="6">
        <f t="shared" ref="G4:G32" si="1">F4*A4</f>
        <v>-1204</v>
      </c>
      <c r="H4" s="3">
        <f t="shared" ref="H4:H32" si="2">C4-F4*$D$2/SQRT(J3)</f>
        <v>1.0178263406803389</v>
      </c>
      <c r="I4" s="3">
        <f t="shared" ref="I4:I32" si="3">D4-G4*$D$2/SQRT(K3)</f>
        <v>1.0038634466250291</v>
      </c>
      <c r="J4">
        <f t="shared" ref="J4:J32" si="4">J3*$J$1+$K$1*F4^2</f>
        <v>9118.268327481559</v>
      </c>
      <c r="K4">
        <f t="shared" ref="K4:K32" si="5">K3*$J$1+$K$1*G4^2</f>
        <v>35107716.144535683</v>
      </c>
    </row>
    <row r="5" spans="1:11" x14ac:dyDescent="0.25">
      <c r="A5">
        <v>86</v>
      </c>
      <c r="B5">
        <v>202</v>
      </c>
      <c r="C5" s="4">
        <f>H4</f>
        <v>1.0178263406803389</v>
      </c>
      <c r="D5" s="4">
        <f>I4</f>
        <v>1.0038634466250291</v>
      </c>
      <c r="E5" s="4">
        <f>C5+D5*A5</f>
        <v>87.350082750432847</v>
      </c>
      <c r="F5" s="6">
        <f t="shared" si="0"/>
        <v>-229.29983449913431</v>
      </c>
      <c r="G5" s="6">
        <f t="shared" si="1"/>
        <v>-19719.78576692555</v>
      </c>
      <c r="H5" s="3">
        <f t="shared" si="2"/>
        <v>1.0658524663353617</v>
      </c>
      <c r="I5" s="3">
        <f t="shared" si="3"/>
        <v>1.0704261418714132</v>
      </c>
      <c r="J5">
        <f t="shared" si="4"/>
        <v>13464.282904866439</v>
      </c>
      <c r="K5">
        <f t="shared" si="5"/>
        <v>70483939.599426061</v>
      </c>
    </row>
    <row r="6" spans="1:11" x14ac:dyDescent="0.25">
      <c r="A6">
        <v>28</v>
      </c>
      <c r="B6">
        <v>86</v>
      </c>
      <c r="C6" s="4">
        <f>H5</f>
        <v>1.0658524663353617</v>
      </c>
      <c r="D6" s="4">
        <f>I5</f>
        <v>1.0704261418714132</v>
      </c>
      <c r="E6" s="4">
        <f>C6+D6*A6</f>
        <v>31.037784438734928</v>
      </c>
      <c r="F6" s="6">
        <f t="shared" si="0"/>
        <v>-109.92443112253014</v>
      </c>
      <c r="G6" s="6">
        <f t="shared" si="1"/>
        <v>-3077.884071430844</v>
      </c>
      <c r="H6" s="3">
        <f t="shared" si="2"/>
        <v>1.0847991240043706</v>
      </c>
      <c r="I6" s="3">
        <f t="shared" si="3"/>
        <v>1.0777583902566392</v>
      </c>
      <c r="J6">
        <f>J5*$J$1+$K$1*F6^2</f>
        <v>13326.192670140983</v>
      </c>
      <c r="K6">
        <f>K5*$J$1+$K$1*G6^2</f>
        <v>64382882.675200231</v>
      </c>
    </row>
    <row r="7" spans="1:11" x14ac:dyDescent="0.25">
      <c r="A7">
        <v>51</v>
      </c>
      <c r="B7">
        <v>132</v>
      </c>
      <c r="C7" s="4">
        <f t="shared" ref="C7:D32" si="6">H6</f>
        <v>1.0847991240043706</v>
      </c>
      <c r="D7" s="4">
        <f t="shared" si="6"/>
        <v>1.0777583902566392</v>
      </c>
      <c r="E7" s="4">
        <f t="shared" ref="E7:E32" si="7">C7+D7*A7</f>
        <v>56.050477027092967</v>
      </c>
      <c r="F7" s="6">
        <f t="shared" si="0"/>
        <v>-151.89904594581407</v>
      </c>
      <c r="G7" s="6">
        <f t="shared" si="1"/>
        <v>-7746.8513432365171</v>
      </c>
      <c r="H7" s="3">
        <f t="shared" si="2"/>
        <v>1.1111158584281933</v>
      </c>
      <c r="I7" s="3">
        <f t="shared" si="3"/>
        <v>1.0970678449350288</v>
      </c>
      <c r="J7">
        <f t="shared" si="4"/>
        <v>14300.905419051738</v>
      </c>
      <c r="K7">
        <f t="shared" si="5"/>
        <v>63945964.981100745</v>
      </c>
    </row>
    <row r="8" spans="1:11" x14ac:dyDescent="0.25">
      <c r="A8">
        <v>28</v>
      </c>
      <c r="B8">
        <v>86</v>
      </c>
      <c r="C8" s="4">
        <f t="shared" si="6"/>
        <v>1.1111158584281933</v>
      </c>
      <c r="D8" s="4">
        <f t="shared" si="6"/>
        <v>1.0970678449350288</v>
      </c>
      <c r="E8" s="4">
        <f t="shared" si="7"/>
        <v>31.829015516609001</v>
      </c>
      <c r="F8" s="6">
        <f>2*(D8*A8+C8-B8)</f>
        <v>-108.34196896678199</v>
      </c>
      <c r="G8" s="6">
        <f t="shared" si="1"/>
        <v>-3033.5751310698956</v>
      </c>
      <c r="H8" s="3">
        <f t="shared" si="2"/>
        <v>1.1292353059910241</v>
      </c>
      <c r="I8" s="3">
        <f t="shared" si="3"/>
        <v>1.1046549863400486</v>
      </c>
      <c r="J8">
        <f t="shared" si="4"/>
        <v>14044.613101106479</v>
      </c>
      <c r="K8">
        <f t="shared" si="5"/>
        <v>58471626.290575251</v>
      </c>
    </row>
    <row r="9" spans="1:11" x14ac:dyDescent="0.25">
      <c r="A9">
        <v>29</v>
      </c>
      <c r="B9">
        <v>88</v>
      </c>
      <c r="C9" s="4">
        <f t="shared" si="6"/>
        <v>1.1292353059910241</v>
      </c>
      <c r="D9" s="4">
        <f t="shared" si="6"/>
        <v>1.1046549863400486</v>
      </c>
      <c r="E9" s="4">
        <f t="shared" si="7"/>
        <v>33.16422990985243</v>
      </c>
      <c r="F9" s="6">
        <f t="shared" si="0"/>
        <v>-109.67154018029514</v>
      </c>
      <c r="G9" s="6">
        <f t="shared" si="1"/>
        <v>-3180.4746652285589</v>
      </c>
      <c r="H9" s="3">
        <f t="shared" si="2"/>
        <v>1.1477437132995656</v>
      </c>
      <c r="I9" s="3">
        <f t="shared" si="3"/>
        <v>1.1129735692503928</v>
      </c>
      <c r="J9">
        <f t="shared" si="4"/>
        <v>13842.93646354764</v>
      </c>
      <c r="K9">
        <f t="shared" si="5"/>
        <v>53636005.571133792</v>
      </c>
    </row>
    <row r="10" spans="1:11" x14ac:dyDescent="0.25">
      <c r="A10">
        <v>72</v>
      </c>
      <c r="B10">
        <v>174</v>
      </c>
      <c r="C10" s="4">
        <f t="shared" si="6"/>
        <v>1.1477437132995656</v>
      </c>
      <c r="D10" s="4">
        <f t="shared" si="6"/>
        <v>1.1129735692503928</v>
      </c>
      <c r="E10" s="4">
        <f t="shared" si="7"/>
        <v>81.281840699327844</v>
      </c>
      <c r="F10" s="6">
        <f t="shared" si="0"/>
        <v>-185.43631860134431</v>
      </c>
      <c r="G10" s="6">
        <f t="shared" si="1"/>
        <v>-13351.41493929679</v>
      </c>
      <c r="H10" s="3">
        <f t="shared" si="2"/>
        <v>1.179265489384306</v>
      </c>
      <c r="I10" s="3">
        <f t="shared" si="3"/>
        <v>1.149434611195548</v>
      </c>
      <c r="J10">
        <f t="shared" si="4"/>
        <v>15897.305642834803</v>
      </c>
      <c r="K10">
        <f t="shared" si="5"/>
        <v>66098433.10214816</v>
      </c>
    </row>
    <row r="11" spans="1:11" x14ac:dyDescent="0.25">
      <c r="A11">
        <v>62</v>
      </c>
      <c r="B11">
        <v>154</v>
      </c>
      <c r="C11" s="4">
        <f t="shared" si="6"/>
        <v>1.179265489384306</v>
      </c>
      <c r="D11" s="4">
        <f t="shared" si="6"/>
        <v>1.149434611195548</v>
      </c>
      <c r="E11" s="4">
        <f t="shared" si="7"/>
        <v>72.444211383508289</v>
      </c>
      <c r="F11" s="6">
        <f t="shared" si="0"/>
        <v>-163.11157723298342</v>
      </c>
      <c r="G11" s="6">
        <f t="shared" si="1"/>
        <v>-10112.917788444973</v>
      </c>
      <c r="H11" s="3">
        <f t="shared" si="2"/>
        <v>1.2051388606764128</v>
      </c>
      <c r="I11" s="3">
        <f t="shared" si="3"/>
        <v>1.1743123492204013</v>
      </c>
      <c r="J11">
        <f t="shared" si="4"/>
        <v>16968.113741294474</v>
      </c>
      <c r="K11">
        <f t="shared" si="5"/>
        <v>69715700.411518008</v>
      </c>
    </row>
    <row r="12" spans="1:11" x14ac:dyDescent="0.25">
      <c r="A12">
        <v>84</v>
      </c>
      <c r="B12">
        <v>198</v>
      </c>
      <c r="C12" s="4">
        <f t="shared" si="6"/>
        <v>1.2051388606764128</v>
      </c>
      <c r="D12" s="4">
        <f t="shared" si="6"/>
        <v>1.1743123492204013</v>
      </c>
      <c r="E12" s="4">
        <f t="shared" si="7"/>
        <v>99.847376195190122</v>
      </c>
      <c r="F12" s="6">
        <f t="shared" si="0"/>
        <v>-196.30524760961976</v>
      </c>
      <c r="G12" s="6">
        <f t="shared" si="1"/>
        <v>-16489.64079920806</v>
      </c>
      <c r="H12" s="3">
        <f t="shared" si="2"/>
        <v>1.2352789907045649</v>
      </c>
      <c r="I12" s="3">
        <f t="shared" si="3"/>
        <v>1.2138104208910743</v>
      </c>
      <c r="J12">
        <f t="shared" si="4"/>
        <v>19124.877391072438</v>
      </c>
      <c r="K12">
        <f t="shared" si="5"/>
        <v>89934955.739056915</v>
      </c>
    </row>
    <row r="13" spans="1:11" x14ac:dyDescent="0.25">
      <c r="A13">
        <v>15</v>
      </c>
      <c r="B13">
        <v>60</v>
      </c>
      <c r="C13" s="4">
        <f t="shared" si="6"/>
        <v>1.2352789907045649</v>
      </c>
      <c r="D13" s="4">
        <f t="shared" si="6"/>
        <v>1.2138104208910743</v>
      </c>
      <c r="E13" s="4">
        <f t="shared" si="7"/>
        <v>19.442435304070678</v>
      </c>
      <c r="F13" s="6">
        <f t="shared" si="0"/>
        <v>-81.115129391858645</v>
      </c>
      <c r="G13" s="6">
        <f t="shared" si="1"/>
        <v>-1216.7269408778798</v>
      </c>
      <c r="H13" s="3">
        <f t="shared" si="2"/>
        <v>1.2470099230776819</v>
      </c>
      <c r="I13" s="3">
        <f t="shared" si="3"/>
        <v>1.2163764339212277</v>
      </c>
      <c r="J13">
        <f t="shared" si="4"/>
        <v>17870.356073590989</v>
      </c>
      <c r="K13">
        <f t="shared" si="5"/>
        <v>81089502.610017031</v>
      </c>
    </row>
    <row r="14" spans="1:11" x14ac:dyDescent="0.25">
      <c r="A14">
        <v>42</v>
      </c>
      <c r="B14">
        <v>114</v>
      </c>
      <c r="C14" s="4">
        <f t="shared" si="6"/>
        <v>1.2470099230776819</v>
      </c>
      <c r="D14" s="4">
        <f t="shared" si="6"/>
        <v>1.2163764339212277</v>
      </c>
      <c r="E14" s="4">
        <f t="shared" si="7"/>
        <v>52.33482014776925</v>
      </c>
      <c r="F14" s="6">
        <f t="shared" si="0"/>
        <v>-123.3303597044615</v>
      </c>
      <c r="G14" s="6">
        <f t="shared" si="1"/>
        <v>-5179.8751075873834</v>
      </c>
      <c r="H14" s="3">
        <f t="shared" si="2"/>
        <v>1.2654614958665862</v>
      </c>
      <c r="I14" s="3">
        <f t="shared" si="3"/>
        <v>1.2278809131934156</v>
      </c>
      <c r="J14">
        <f t="shared" si="4"/>
        <v>17604.358228715075</v>
      </c>
      <c r="K14">
        <f t="shared" si="5"/>
        <v>75663662.962035671</v>
      </c>
    </row>
    <row r="15" spans="1:11" x14ac:dyDescent="0.25">
      <c r="A15">
        <v>62</v>
      </c>
      <c r="B15">
        <v>154</v>
      </c>
      <c r="C15" s="4">
        <f t="shared" si="6"/>
        <v>1.2654614958665862</v>
      </c>
      <c r="D15" s="4">
        <f>I14</f>
        <v>1.2278809131934156</v>
      </c>
      <c r="E15" s="4">
        <f t="shared" si="7"/>
        <v>77.394078113858356</v>
      </c>
      <c r="F15" s="6">
        <f t="shared" si="0"/>
        <v>-153.21184377228329</v>
      </c>
      <c r="G15" s="6">
        <f t="shared" si="1"/>
        <v>-9499.1343138815646</v>
      </c>
      <c r="H15" s="3">
        <f t="shared" si="2"/>
        <v>1.2885561911232954</v>
      </c>
      <c r="I15" s="3">
        <f t="shared" si="3"/>
        <v>1.2497218037710511</v>
      </c>
      <c r="J15">
        <f t="shared" si="4"/>
        <v>18191.309313053822</v>
      </c>
      <c r="K15">
        <f t="shared" si="5"/>
        <v>77120651.937148318</v>
      </c>
    </row>
    <row r="16" spans="1:11" x14ac:dyDescent="0.25">
      <c r="A16">
        <v>47</v>
      </c>
      <c r="B16">
        <v>124</v>
      </c>
      <c r="C16" s="4">
        <f t="shared" si="6"/>
        <v>1.2885561911232954</v>
      </c>
      <c r="D16" s="4">
        <f t="shared" si="6"/>
        <v>1.2497218037710511</v>
      </c>
      <c r="E16" s="4">
        <f t="shared" si="7"/>
        <v>60.0254809683627</v>
      </c>
      <c r="F16" s="6">
        <f t="shared" si="0"/>
        <v>-127.9490380632746</v>
      </c>
      <c r="G16" s="6">
        <f t="shared" si="1"/>
        <v>-6013.6047889739066</v>
      </c>
      <c r="H16" s="3">
        <f t="shared" si="2"/>
        <v>1.3075291489616883</v>
      </c>
      <c r="I16" s="3">
        <f t="shared" si="3"/>
        <v>1.2634173555013009</v>
      </c>
      <c r="J16">
        <f t="shared" si="4"/>
        <v>18009.274015880168</v>
      </c>
      <c r="K16">
        <f t="shared" si="5"/>
        <v>73024930.999230474</v>
      </c>
    </row>
    <row r="17" spans="1:11" x14ac:dyDescent="0.25">
      <c r="A17">
        <v>35</v>
      </c>
      <c r="B17">
        <v>100</v>
      </c>
      <c r="C17" s="4">
        <f t="shared" si="6"/>
        <v>1.3075291489616883</v>
      </c>
      <c r="D17" s="4">
        <f t="shared" si="6"/>
        <v>1.2634173555013009</v>
      </c>
      <c r="E17" s="4">
        <f t="shared" si="7"/>
        <v>45.527136591507222</v>
      </c>
      <c r="F17" s="6">
        <f t="shared" si="0"/>
        <v>-108.94572681698556</v>
      </c>
      <c r="G17" s="6">
        <f t="shared" si="1"/>
        <v>-3813.1004385944943</v>
      </c>
      <c r="H17" s="3">
        <f t="shared" si="2"/>
        <v>1.3237656368615158</v>
      </c>
      <c r="I17" s="3">
        <f t="shared" si="3"/>
        <v>1.2723416247149248</v>
      </c>
      <c r="J17">
        <f t="shared" si="4"/>
        <v>17395.263753460276</v>
      </c>
      <c r="K17">
        <f t="shared" si="5"/>
        <v>67176411.394788384</v>
      </c>
    </row>
    <row r="18" spans="1:11" x14ac:dyDescent="0.25">
      <c r="A18">
        <v>9</v>
      </c>
      <c r="B18">
        <v>48</v>
      </c>
      <c r="C18" s="4">
        <f t="shared" si="6"/>
        <v>1.3237656368615158</v>
      </c>
      <c r="D18" s="4">
        <f t="shared" si="6"/>
        <v>1.2723416247149248</v>
      </c>
      <c r="E18" s="4">
        <f t="shared" si="7"/>
        <v>12.774840259295839</v>
      </c>
      <c r="F18" s="6">
        <f t="shared" si="0"/>
        <v>-70.450319481408314</v>
      </c>
      <c r="G18" s="6">
        <f t="shared" si="1"/>
        <v>-634.05287533267483</v>
      </c>
      <c r="H18" s="3">
        <f t="shared" si="2"/>
        <v>1.3344487407943169</v>
      </c>
      <c r="I18" s="3">
        <f t="shared" si="3"/>
        <v>1.2738888269071464</v>
      </c>
      <c r="J18">
        <f t="shared" si="4"/>
        <v>16152.062129617498</v>
      </c>
      <c r="K18">
        <f t="shared" si="5"/>
        <v>60498972.560181305</v>
      </c>
    </row>
    <row r="19" spans="1:11" x14ac:dyDescent="0.25">
      <c r="A19">
        <v>38</v>
      </c>
      <c r="B19">
        <v>106</v>
      </c>
      <c r="C19" s="4">
        <f t="shared" si="6"/>
        <v>1.3344487407943169</v>
      </c>
      <c r="D19" s="4">
        <f t="shared" si="6"/>
        <v>1.2738888269071464</v>
      </c>
      <c r="E19" s="4">
        <f t="shared" si="7"/>
        <v>49.742224163265881</v>
      </c>
      <c r="F19" s="6">
        <f t="shared" si="0"/>
        <v>-112.51555167346824</v>
      </c>
      <c r="G19" s="6">
        <f t="shared" si="1"/>
        <v>-4275.5909635917933</v>
      </c>
      <c r="H19" s="3">
        <f t="shared" si="2"/>
        <v>1.3521550710901007</v>
      </c>
      <c r="I19" s="3">
        <f t="shared" si="3"/>
        <v>1.2848827361283015</v>
      </c>
      <c r="J19">
        <f t="shared" si="4"/>
        <v>15802.830853494237</v>
      </c>
      <c r="K19">
        <f t="shared" si="5"/>
        <v>56277143.112957954</v>
      </c>
    </row>
    <row r="20" spans="1:11" x14ac:dyDescent="0.25">
      <c r="A20">
        <v>44</v>
      </c>
      <c r="B20">
        <v>118</v>
      </c>
      <c r="C20" s="4">
        <f t="shared" si="6"/>
        <v>1.3521550710901007</v>
      </c>
      <c r="D20" s="4">
        <f t="shared" si="6"/>
        <v>1.2848827361283015</v>
      </c>
      <c r="E20" s="4">
        <f t="shared" si="7"/>
        <v>57.886995460735371</v>
      </c>
      <c r="F20" s="6">
        <f t="shared" si="0"/>
        <v>-120.22600907852926</v>
      </c>
      <c r="G20" s="6">
        <f t="shared" si="1"/>
        <v>-5289.9443994552876</v>
      </c>
      <c r="H20" s="3">
        <f t="shared" si="2"/>
        <v>1.3712826930924653</v>
      </c>
      <c r="I20" s="3">
        <f t="shared" si="3"/>
        <v>1.29898585224858</v>
      </c>
      <c r="J20">
        <f t="shared" si="4"/>
        <v>15667.977094039874</v>
      </c>
      <c r="K20">
        <f t="shared" si="5"/>
        <v>53447779.976594999</v>
      </c>
    </row>
    <row r="21" spans="1:11" x14ac:dyDescent="0.25">
      <c r="A21">
        <v>99</v>
      </c>
      <c r="B21">
        <v>228</v>
      </c>
      <c r="C21" s="4">
        <f t="shared" si="6"/>
        <v>1.3712826930924653</v>
      </c>
      <c r="D21" s="4">
        <f t="shared" si="6"/>
        <v>1.29898585224858</v>
      </c>
      <c r="E21" s="4">
        <f t="shared" si="7"/>
        <v>129.97088206570189</v>
      </c>
      <c r="F21" s="6">
        <f t="shared" si="0"/>
        <v>-196.05823586859623</v>
      </c>
      <c r="G21" s="6">
        <f t="shared" si="1"/>
        <v>-19409.765350991027</v>
      </c>
      <c r="H21" s="3">
        <f t="shared" si="2"/>
        <v>1.4026089584361303</v>
      </c>
      <c r="I21" s="3">
        <f t="shared" si="3"/>
        <v>1.3520847425934954</v>
      </c>
      <c r="J21">
        <f t="shared" si="4"/>
        <v>17945.062569826499</v>
      </c>
      <c r="K21">
        <f t="shared" si="5"/>
        <v>85776901.076988667</v>
      </c>
    </row>
    <row r="22" spans="1:11" x14ac:dyDescent="0.25">
      <c r="A22">
        <v>13</v>
      </c>
      <c r="B22">
        <v>56</v>
      </c>
      <c r="C22" s="4">
        <f t="shared" si="6"/>
        <v>1.4026089584361303</v>
      </c>
      <c r="D22" s="4">
        <f t="shared" si="6"/>
        <v>1.3520847425934954</v>
      </c>
      <c r="E22" s="4">
        <f t="shared" si="7"/>
        <v>18.979710612151571</v>
      </c>
      <c r="F22" s="6">
        <f t="shared" si="0"/>
        <v>-74.040578775696858</v>
      </c>
      <c r="G22" s="6">
        <f t="shared" si="1"/>
        <v>-962.52752408405911</v>
      </c>
      <c r="H22" s="3">
        <f t="shared" si="2"/>
        <v>1.4136631582911605</v>
      </c>
      <c r="I22" s="3">
        <f t="shared" si="3"/>
        <v>1.3541632806325754</v>
      </c>
      <c r="J22">
        <f t="shared" si="4"/>
        <v>16698.757043387868</v>
      </c>
      <c r="K22">
        <f t="shared" si="5"/>
        <v>77291856.892751753</v>
      </c>
    </row>
    <row r="23" spans="1:11" x14ac:dyDescent="0.25">
      <c r="A23">
        <v>21</v>
      </c>
      <c r="B23">
        <v>72</v>
      </c>
      <c r="C23" s="4">
        <f t="shared" si="6"/>
        <v>1.4136631582911605</v>
      </c>
      <c r="D23" s="4">
        <f t="shared" si="6"/>
        <v>1.3541632806325754</v>
      </c>
      <c r="E23" s="4">
        <f t="shared" si="7"/>
        <v>29.851092051575243</v>
      </c>
      <c r="F23" s="6">
        <f t="shared" si="0"/>
        <v>-84.297815896849514</v>
      </c>
      <c r="G23" s="6">
        <f t="shared" si="1"/>
        <v>-1770.2541338338399</v>
      </c>
      <c r="H23" s="3">
        <f t="shared" si="2"/>
        <v>1.4267099655061728</v>
      </c>
      <c r="I23" s="3">
        <f t="shared" si="3"/>
        <v>1.3581904393135271</v>
      </c>
      <c r="J23">
        <f t="shared" si="4"/>
        <v>15739.493515546994</v>
      </c>
      <c r="K23">
        <f t="shared" si="5"/>
        <v>69876051.173312157</v>
      </c>
    </row>
    <row r="24" spans="1:11" x14ac:dyDescent="0.25">
      <c r="A24">
        <v>28</v>
      </c>
      <c r="B24">
        <v>86</v>
      </c>
      <c r="C24" s="4">
        <f t="shared" si="6"/>
        <v>1.4267099655061728</v>
      </c>
      <c r="D24" s="4">
        <f t="shared" si="6"/>
        <v>1.3581904393135271</v>
      </c>
      <c r="E24" s="4">
        <f t="shared" si="7"/>
        <v>39.456042266284932</v>
      </c>
      <c r="F24" s="6">
        <f t="shared" si="0"/>
        <v>-93.087915467430136</v>
      </c>
      <c r="G24" s="6">
        <f t="shared" si="1"/>
        <v>-2606.461633088044</v>
      </c>
      <c r="H24" s="3">
        <f t="shared" si="2"/>
        <v>1.4415497612853454</v>
      </c>
      <c r="I24" s="3">
        <f t="shared" si="3"/>
        <v>1.3644265979611134</v>
      </c>
      <c r="J24">
        <f t="shared" si="4"/>
        <v>15032.080164599438</v>
      </c>
      <c r="K24">
        <f t="shared" si="5"/>
        <v>63567810.280456945</v>
      </c>
    </row>
    <row r="25" spans="1:11" x14ac:dyDescent="0.25">
      <c r="A25">
        <v>20</v>
      </c>
      <c r="B25">
        <v>70</v>
      </c>
      <c r="C25" s="4">
        <f t="shared" si="6"/>
        <v>1.4415497612853454</v>
      </c>
      <c r="D25" s="4">
        <f t="shared" si="6"/>
        <v>1.3644265979611134</v>
      </c>
      <c r="E25" s="4">
        <f t="shared" si="7"/>
        <v>28.730081720507613</v>
      </c>
      <c r="F25" s="6">
        <f t="shared" si="0"/>
        <v>-82.539836558984774</v>
      </c>
      <c r="G25" s="6">
        <f t="shared" si="1"/>
        <v>-1650.7967311796956</v>
      </c>
      <c r="H25" s="3">
        <f t="shared" si="2"/>
        <v>1.4550140699354706</v>
      </c>
      <c r="I25" s="3">
        <f t="shared" si="3"/>
        <v>1.3685675954784378</v>
      </c>
      <c r="J25">
        <f t="shared" si="4"/>
        <v>14210.154610057887</v>
      </c>
      <c r="K25">
        <f t="shared" si="5"/>
        <v>57483542.237178609</v>
      </c>
    </row>
    <row r="26" spans="1:11" x14ac:dyDescent="0.25">
      <c r="A26">
        <v>8</v>
      </c>
      <c r="B26">
        <v>46</v>
      </c>
      <c r="C26" s="4">
        <f t="shared" si="6"/>
        <v>1.4550140699354706</v>
      </c>
      <c r="D26" s="4">
        <f t="shared" si="6"/>
        <v>1.3685675954784378</v>
      </c>
      <c r="E26" s="4">
        <f t="shared" si="7"/>
        <v>12.403554833762973</v>
      </c>
      <c r="F26" s="6">
        <f t="shared" si="0"/>
        <v>-67.19289033247405</v>
      </c>
      <c r="G26" s="6">
        <f t="shared" si="1"/>
        <v>-537.5431226597924</v>
      </c>
      <c r="H26" s="3">
        <f t="shared" si="2"/>
        <v>1.4662874439809293</v>
      </c>
      <c r="I26" s="3">
        <f t="shared" si="3"/>
        <v>1.3699855801769021</v>
      </c>
      <c r="J26">
        <f t="shared" si="4"/>
        <v>13240.627600175287</v>
      </c>
      <c r="K26">
        <f t="shared" si="5"/>
        <v>51764083.274332635</v>
      </c>
    </row>
    <row r="27" spans="1:11" x14ac:dyDescent="0.25">
      <c r="A27">
        <v>64</v>
      </c>
      <c r="B27">
        <v>158</v>
      </c>
      <c r="C27" s="4">
        <f t="shared" si="6"/>
        <v>1.4662874439809293</v>
      </c>
      <c r="D27" s="4">
        <f t="shared" si="6"/>
        <v>1.3699855801769021</v>
      </c>
      <c r="E27" s="4">
        <f t="shared" si="7"/>
        <v>89.145364575302665</v>
      </c>
      <c r="F27" s="6">
        <f t="shared" si="0"/>
        <v>-137.70927084939467</v>
      </c>
      <c r="G27" s="6">
        <f t="shared" si="1"/>
        <v>-8813.3933343612589</v>
      </c>
      <c r="H27" s="3">
        <f t="shared" si="2"/>
        <v>1.4902227447383232</v>
      </c>
      <c r="I27" s="3">
        <f t="shared" si="3"/>
        <v>1.3944851740299169</v>
      </c>
      <c r="J27">
        <f t="shared" si="4"/>
        <v>13812.949167944951</v>
      </c>
      <c r="K27">
        <f t="shared" si="5"/>
        <v>54355265.153515711</v>
      </c>
    </row>
    <row r="28" spans="1:11" x14ac:dyDescent="0.25">
      <c r="A28">
        <v>99</v>
      </c>
      <c r="B28">
        <v>228</v>
      </c>
      <c r="C28" s="4">
        <f t="shared" si="6"/>
        <v>1.4902227447383232</v>
      </c>
      <c r="D28" s="4">
        <f t="shared" si="6"/>
        <v>1.3944851740299169</v>
      </c>
      <c r="E28" s="4">
        <f t="shared" si="7"/>
        <v>139.54425497370011</v>
      </c>
      <c r="F28" s="6">
        <f t="shared" si="0"/>
        <v>-176.91149005259979</v>
      </c>
      <c r="G28" s="6">
        <f t="shared" si="1"/>
        <v>-17514.23751520738</v>
      </c>
      <c r="H28" s="3">
        <f t="shared" si="2"/>
        <v>1.5203280357227018</v>
      </c>
      <c r="I28" s="3">
        <f t="shared" si="3"/>
        <v>1.4419968577618538</v>
      </c>
      <c r="J28">
        <f t="shared" si="4"/>
        <v>15561.421782413567</v>
      </c>
      <c r="K28">
        <f t="shared" si="5"/>
        <v>79594590.212073892</v>
      </c>
    </row>
    <row r="29" spans="1:11" x14ac:dyDescent="0.25">
      <c r="A29">
        <v>70</v>
      </c>
      <c r="B29">
        <v>170</v>
      </c>
      <c r="C29" s="4">
        <f t="shared" si="6"/>
        <v>1.5203280357227018</v>
      </c>
      <c r="D29" s="4">
        <f t="shared" si="6"/>
        <v>1.4419968577618538</v>
      </c>
      <c r="E29" s="4">
        <f t="shared" si="7"/>
        <v>102.46010807905246</v>
      </c>
      <c r="F29" s="6">
        <f t="shared" si="0"/>
        <v>-135.07978384189508</v>
      </c>
      <c r="G29" s="6">
        <f t="shared" si="1"/>
        <v>-9455.5848689326558</v>
      </c>
      <c r="H29" s="3">
        <f t="shared" si="2"/>
        <v>1.5419849070187279</v>
      </c>
      <c r="I29" s="3">
        <f t="shared" si="3"/>
        <v>1.4631939659832729</v>
      </c>
      <c r="J29">
        <f t="shared" si="4"/>
        <v>15829.934404449519</v>
      </c>
      <c r="K29">
        <f t="shared" si="5"/>
        <v>80575939.712225318</v>
      </c>
    </row>
    <row r="30" spans="1:11" x14ac:dyDescent="0.25">
      <c r="A30">
        <v>27</v>
      </c>
      <c r="B30">
        <v>84</v>
      </c>
      <c r="C30" s="4">
        <f t="shared" si="6"/>
        <v>1.5419849070187279</v>
      </c>
      <c r="D30" s="4">
        <f t="shared" si="6"/>
        <v>1.4631939659832729</v>
      </c>
      <c r="E30" s="4">
        <f t="shared" si="7"/>
        <v>41.0482219885671</v>
      </c>
      <c r="F30" s="6">
        <f t="shared" si="0"/>
        <v>-85.9035560228658</v>
      </c>
      <c r="G30" s="6">
        <f t="shared" si="1"/>
        <v>-2319.3960126173765</v>
      </c>
      <c r="H30" s="3">
        <f t="shared" si="2"/>
        <v>1.5556402175293456</v>
      </c>
      <c r="I30" s="3">
        <f t="shared" si="3"/>
        <v>1.4683617245108218</v>
      </c>
      <c r="J30">
        <f t="shared" si="4"/>
        <v>14984.88305774193</v>
      </c>
      <c r="K30">
        <f t="shared" si="5"/>
        <v>73056305.527337328</v>
      </c>
    </row>
    <row r="31" spans="1:11" x14ac:dyDescent="0.25">
      <c r="A31">
        <v>17</v>
      </c>
      <c r="B31">
        <v>64</v>
      </c>
      <c r="C31" s="4">
        <f t="shared" si="6"/>
        <v>1.5556402175293456</v>
      </c>
      <c r="D31" s="4">
        <f t="shared" si="6"/>
        <v>1.4683617245108218</v>
      </c>
      <c r="E31" s="4">
        <f t="shared" si="7"/>
        <v>26.517789534213314</v>
      </c>
      <c r="F31" s="6">
        <f t="shared" si="0"/>
        <v>-74.964420931573372</v>
      </c>
      <c r="G31" s="6">
        <f t="shared" si="1"/>
        <v>-1274.3951558367473</v>
      </c>
      <c r="H31" s="3">
        <f t="shared" si="2"/>
        <v>1.5678880294102748</v>
      </c>
      <c r="I31" s="3">
        <f t="shared" si="3"/>
        <v>1.471343708138098</v>
      </c>
      <c r="J31">
        <f t="shared" si="4"/>
        <v>14048.361192528348</v>
      </c>
      <c r="K31">
        <f t="shared" si="5"/>
        <v>65913083.275925606</v>
      </c>
    </row>
    <row r="32" spans="1:11" x14ac:dyDescent="0.25">
      <c r="A32">
        <v>8</v>
      </c>
      <c r="B32">
        <v>46</v>
      </c>
      <c r="C32" s="4">
        <f t="shared" si="6"/>
        <v>1.5678880294102748</v>
      </c>
      <c r="D32" s="4">
        <f t="shared" si="6"/>
        <v>1.471343708138098</v>
      </c>
      <c r="E32" s="4">
        <f t="shared" si="7"/>
        <v>13.338637694515059</v>
      </c>
      <c r="F32" s="6">
        <f t="shared" si="0"/>
        <v>-65.322724610969885</v>
      </c>
      <c r="G32" s="6">
        <f t="shared" si="1"/>
        <v>-522.58179688775908</v>
      </c>
      <c r="H32" s="3">
        <f t="shared" si="2"/>
        <v>1.5789105635894394</v>
      </c>
      <c r="I32" s="3">
        <f t="shared" si="3"/>
        <v>1.4726310635401902</v>
      </c>
      <c r="J32">
        <f t="shared" si="4"/>
        <v>13070.230908335576</v>
      </c>
      <c r="K32">
        <f t="shared" si="5"/>
        <v>59349084.121776894</v>
      </c>
    </row>
    <row r="33" spans="1:11" x14ac:dyDescent="0.25">
      <c r="A33" s="6"/>
      <c r="B33" s="6"/>
      <c r="H33" s="3"/>
      <c r="J33" s="6">
        <v>9309.6314749795092</v>
      </c>
      <c r="K33">
        <v>38847505.049484089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E4" sqref="E4"/>
    </sheetView>
  </sheetViews>
  <sheetFormatPr defaultRowHeight="15" x14ac:dyDescent="0.25"/>
  <cols>
    <col min="3" max="3" width="8.85546875" style="4" customWidth="1"/>
    <col min="4" max="4" width="10.85546875" style="4" bestFit="1" customWidth="1"/>
    <col min="5" max="5" width="9.140625" style="4" bestFit="1" customWidth="1"/>
    <col min="6" max="6" width="10.85546875" style="6" bestFit="1" customWidth="1"/>
    <col min="7" max="7" width="10.140625" style="6" bestFit="1" customWidth="1"/>
    <col min="8" max="8" width="8.28515625" bestFit="1" customWidth="1"/>
    <col min="9" max="9" width="5.85546875" bestFit="1" customWidth="1"/>
    <col min="10" max="11" width="6.5703125" customWidth="1"/>
    <col min="12" max="12" width="8.42578125" customWidth="1"/>
    <col min="13" max="13" width="13.140625" customWidth="1"/>
  </cols>
  <sheetData>
    <row r="1" spans="1:15" x14ac:dyDescent="0.25">
      <c r="B1" t="s">
        <v>21</v>
      </c>
      <c r="C1" s="4">
        <v>1</v>
      </c>
      <c r="D1" s="4" t="s">
        <v>14</v>
      </c>
      <c r="I1" t="s">
        <v>24</v>
      </c>
      <c r="J1">
        <v>0.7</v>
      </c>
      <c r="K1">
        <f>1-J1</f>
        <v>0.30000000000000004</v>
      </c>
      <c r="L1">
        <v>0.9</v>
      </c>
      <c r="M1">
        <f>1-L1</f>
        <v>9.9999999999999978E-2</v>
      </c>
    </row>
    <row r="2" spans="1:15" x14ac:dyDescent="0.25">
      <c r="B2" t="s">
        <v>22</v>
      </c>
      <c r="C2" s="4">
        <v>1</v>
      </c>
      <c r="D2">
        <v>1</v>
      </c>
      <c r="F2" s="8"/>
      <c r="G2" s="8"/>
    </row>
    <row r="3" spans="1:15" s="2" customFormat="1" x14ac:dyDescent="0.25">
      <c r="A3" s="2" t="s">
        <v>15</v>
      </c>
      <c r="B3" s="2" t="s">
        <v>16</v>
      </c>
      <c r="C3" s="5" t="s">
        <v>21</v>
      </c>
      <c r="D3" s="5" t="s">
        <v>22</v>
      </c>
      <c r="E3" s="5" t="s">
        <v>18</v>
      </c>
      <c r="F3" s="7" t="s">
        <v>6</v>
      </c>
      <c r="G3" s="7" t="s">
        <v>9</v>
      </c>
      <c r="H3" s="2" t="s">
        <v>13</v>
      </c>
      <c r="I3" s="2" t="s">
        <v>12</v>
      </c>
      <c r="J3">
        <f>J33</f>
        <v>-19.370509429769257</v>
      </c>
      <c r="K3">
        <f>K33</f>
        <v>-636.96204313606268</v>
      </c>
      <c r="L3">
        <f>L33</f>
        <v>5489.999378391848</v>
      </c>
      <c r="M3">
        <f>M33</f>
        <v>27555653.260482278</v>
      </c>
      <c r="N3"/>
      <c r="O3"/>
    </row>
    <row r="4" spans="1:15" x14ac:dyDescent="0.25">
      <c r="A4">
        <v>14</v>
      </c>
      <c r="B4">
        <v>58</v>
      </c>
      <c r="C4" s="4">
        <f>C1</f>
        <v>1</v>
      </c>
      <c r="D4" s="4">
        <f>C2</f>
        <v>1</v>
      </c>
      <c r="E4" s="4">
        <f>C4+D4*A4</f>
        <v>15</v>
      </c>
      <c r="F4" s="6">
        <f t="shared" ref="F4:F32" si="0">2*(D4*A4+C4-B4)</f>
        <v>-86</v>
      </c>
      <c r="G4" s="6">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5">
      <c r="A5">
        <v>86</v>
      </c>
      <c r="B5">
        <v>202</v>
      </c>
      <c r="C5" s="4">
        <f>H4</f>
        <v>1.5222168817019814</v>
      </c>
      <c r="D5" s="4">
        <f>I4</f>
        <v>1.1615923752588633</v>
      </c>
      <c r="E5" s="4">
        <f>C5+D5*A5</f>
        <v>101.41916115396423</v>
      </c>
      <c r="F5" s="6">
        <f t="shared" si="0"/>
        <v>-201.16167769207155</v>
      </c>
      <c r="G5" s="6">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5">
      <c r="A6">
        <v>28</v>
      </c>
      <c r="B6">
        <v>86</v>
      </c>
      <c r="C6" s="4">
        <f>H5</f>
        <v>2.4406800624791023</v>
      </c>
      <c r="D6" s="4">
        <f>I5</f>
        <v>1.956762413138724</v>
      </c>
      <c r="E6" s="4">
        <f>C6+D6*A6</f>
        <v>57.230027630363374</v>
      </c>
      <c r="F6" s="6">
        <f t="shared" si="0"/>
        <v>-57.539944739273253</v>
      </c>
      <c r="G6" s="6">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5">
      <c r="A7">
        <v>51</v>
      </c>
      <c r="B7">
        <v>132</v>
      </c>
      <c r="C7" s="4">
        <f t="shared" ref="C7:D32" si="8">H6</f>
        <v>3.2915880452759305</v>
      </c>
      <c r="D7" s="4">
        <f t="shared" si="8"/>
        <v>2.6120846873989083</v>
      </c>
      <c r="E7" s="4">
        <f t="shared" ref="E7:E32" si="9">C7+D7*A7</f>
        <v>136.50790710262027</v>
      </c>
      <c r="F7" s="6">
        <f t="shared" si="0"/>
        <v>9.015814205240531</v>
      </c>
      <c r="G7" s="6">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5">
      <c r="A8">
        <v>28</v>
      </c>
      <c r="B8">
        <v>86</v>
      </c>
      <c r="C8" s="4">
        <f t="shared" si="8"/>
        <v>3.8883391853633813</v>
      </c>
      <c r="D8" s="4">
        <f t="shared" si="8"/>
        <v>3.0743899544554814</v>
      </c>
      <c r="E8" s="4">
        <f t="shared" si="9"/>
        <v>89.971257910116861</v>
      </c>
      <c r="F8" s="6">
        <f t="shared" si="0"/>
        <v>7.9425158202337229</v>
      </c>
      <c r="G8" s="6">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5">
      <c r="A9">
        <v>29</v>
      </c>
      <c r="B9">
        <v>88</v>
      </c>
      <c r="C9" s="4">
        <f t="shared" si="8"/>
        <v>4.299897696724396</v>
      </c>
      <c r="D9" s="4">
        <f t="shared" si="8"/>
        <v>3.4047229603450924</v>
      </c>
      <c r="E9" s="4">
        <f t="shared" si="9"/>
        <v>103.03686354673208</v>
      </c>
      <c r="F9" s="6">
        <f t="shared" si="0"/>
        <v>30.073727093464157</v>
      </c>
      <c r="G9" s="6">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5">
      <c r="A10">
        <v>72</v>
      </c>
      <c r="B10">
        <v>174</v>
      </c>
      <c r="C10" s="4">
        <f t="shared" si="8"/>
        <v>4.4882135114777197</v>
      </c>
      <c r="D10" s="4">
        <f t="shared" si="8"/>
        <v>3.603749969127918</v>
      </c>
      <c r="E10" s="4">
        <f t="shared" si="9"/>
        <v>263.95821128868783</v>
      </c>
      <c r="F10" s="6">
        <f t="shared" si="0"/>
        <v>179.91642257737567</v>
      </c>
      <c r="G10" s="6">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5">
      <c r="A11">
        <v>62</v>
      </c>
      <c r="B11">
        <v>154</v>
      </c>
      <c r="C11" s="4">
        <f t="shared" si="8"/>
        <v>4.0288745185189248</v>
      </c>
      <c r="D11" s="4">
        <f t="shared" si="8"/>
        <v>3.161053900045363</v>
      </c>
      <c r="E11" s="4">
        <f t="shared" si="9"/>
        <v>200.01421632133145</v>
      </c>
      <c r="F11" s="6">
        <f t="shared" si="0"/>
        <v>92.028432642662892</v>
      </c>
      <c r="G11" s="6">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5">
      <c r="A12">
        <v>84</v>
      </c>
      <c r="B12">
        <v>198</v>
      </c>
      <c r="C12" s="4">
        <f t="shared" si="8"/>
        <v>3.4139176986042741</v>
      </c>
      <c r="D12" s="4">
        <f t="shared" si="8"/>
        <v>2.5948473334506703</v>
      </c>
      <c r="E12" s="4">
        <f t="shared" si="9"/>
        <v>221.38109370846058</v>
      </c>
      <c r="F12" s="6">
        <f t="shared" si="0"/>
        <v>46.762187416921165</v>
      </c>
      <c r="G12" s="6">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5">
      <c r="A13">
        <v>15</v>
      </c>
      <c r="B13">
        <v>60</v>
      </c>
      <c r="C13" s="4">
        <f t="shared" si="8"/>
        <v>2.8116321550862153</v>
      </c>
      <c r="D13" s="4">
        <f t="shared" si="8"/>
        <v>2.0055441344621592</v>
      </c>
      <c r="E13" s="4">
        <f t="shared" si="9"/>
        <v>32.894794172018607</v>
      </c>
      <c r="F13" s="6">
        <f t="shared" si="0"/>
        <v>-54.210411655962787</v>
      </c>
      <c r="G13" s="6">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5">
      <c r="A14">
        <v>42</v>
      </c>
      <c r="B14">
        <v>114</v>
      </c>
      <c r="C14" s="4">
        <f t="shared" si="8"/>
        <v>2.5610608767426699</v>
      </c>
      <c r="D14" s="4">
        <f t="shared" si="8"/>
        <v>1.6101187170542504</v>
      </c>
      <c r="E14" s="4">
        <f t="shared" si="9"/>
        <v>70.186046993021193</v>
      </c>
      <c r="F14" s="6">
        <f t="shared" si="0"/>
        <v>-87.627906013957613</v>
      </c>
      <c r="G14" s="6">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5">
      <c r="A15">
        <v>62</v>
      </c>
      <c r="B15">
        <v>154</v>
      </c>
      <c r="C15" s="4">
        <f t="shared" si="8"/>
        <v>2.6851705330629283</v>
      </c>
      <c r="D15" s="4">
        <f>I14</f>
        <v>1.5065431264185785</v>
      </c>
      <c r="E15" s="4">
        <f t="shared" si="9"/>
        <v>96.090844371014796</v>
      </c>
      <c r="F15" s="6">
        <f t="shared" si="0"/>
        <v>-115.81831125797041</v>
      </c>
      <c r="G15" s="6">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5">
      <c r="A16">
        <v>47</v>
      </c>
      <c r="B16">
        <v>124</v>
      </c>
      <c r="C16" s="4">
        <f t="shared" si="8"/>
        <v>3.1509878847706978</v>
      </c>
      <c r="D16" s="4">
        <f t="shared" si="8"/>
        <v>1.7848847743732295</v>
      </c>
      <c r="E16" s="4">
        <f t="shared" si="9"/>
        <v>87.040572280312489</v>
      </c>
      <c r="F16" s="6">
        <f t="shared" si="0"/>
        <v>-73.918855439375022</v>
      </c>
      <c r="G16" s="6">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5">
      <c r="A17">
        <v>35</v>
      </c>
      <c r="B17">
        <v>100</v>
      </c>
      <c r="C17" s="4">
        <f t="shared" si="8"/>
        <v>3.7307891539045204</v>
      </c>
      <c r="D17" s="4">
        <f t="shared" si="8"/>
        <v>2.1618594860757017</v>
      </c>
      <c r="E17" s="4">
        <f t="shared" si="9"/>
        <v>79.395871166554087</v>
      </c>
      <c r="F17" s="6">
        <f t="shared" si="0"/>
        <v>-41.208257666891825</v>
      </c>
      <c r="G17" s="6">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5">
      <c r="A18">
        <v>9</v>
      </c>
      <c r="B18">
        <v>48</v>
      </c>
      <c r="C18" s="4">
        <f t="shared" si="8"/>
        <v>4.2977129677247019</v>
      </c>
      <c r="D18" s="4">
        <f t="shared" si="8"/>
        <v>2.5154990768569427</v>
      </c>
      <c r="E18" s="4">
        <f t="shared" si="9"/>
        <v>26.937204659437189</v>
      </c>
      <c r="F18" s="6">
        <f t="shared" si="0"/>
        <v>-42.125590681125622</v>
      </c>
      <c r="G18" s="6">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5">
      <c r="A19">
        <v>38</v>
      </c>
      <c r="B19">
        <v>106</v>
      </c>
      <c r="C19" s="4">
        <f t="shared" si="8"/>
        <v>4.8637420958165807</v>
      </c>
      <c r="D19" s="4">
        <f t="shared" si="8"/>
        <v>2.7975327047649166</v>
      </c>
      <c r="E19" s="4">
        <f t="shared" si="9"/>
        <v>111.1699848768834</v>
      </c>
      <c r="F19" s="6">
        <f t="shared" si="0"/>
        <v>10.339969753766809</v>
      </c>
      <c r="G19" s="6">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5">
      <c r="A20">
        <v>44</v>
      </c>
      <c r="B20">
        <v>118</v>
      </c>
      <c r="C20" s="4">
        <f t="shared" si="8"/>
        <v>5.2414257968623277</v>
      </c>
      <c r="D20" s="4">
        <f t="shared" si="8"/>
        <v>2.9824643287675414</v>
      </c>
      <c r="E20" s="4">
        <f t="shared" si="9"/>
        <v>136.46985626263415</v>
      </c>
      <c r="F20" s="6">
        <f t="shared" si="0"/>
        <v>36.939712525268305</v>
      </c>
      <c r="G20" s="6">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5">
      <c r="A21">
        <v>99</v>
      </c>
      <c r="B21">
        <v>228</v>
      </c>
      <c r="C21" s="4">
        <f t="shared" si="8"/>
        <v>5.3693900077862287</v>
      </c>
      <c r="D21" s="4">
        <f t="shared" si="8"/>
        <v>3.0179543917582352</v>
      </c>
      <c r="E21" s="4">
        <f t="shared" si="9"/>
        <v>304.14687479185153</v>
      </c>
      <c r="F21" s="6">
        <f t="shared" si="0"/>
        <v>152.29374958370306</v>
      </c>
      <c r="G21" s="6">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5">
      <c r="A22">
        <v>13</v>
      </c>
      <c r="B22">
        <v>56</v>
      </c>
      <c r="C22" s="4">
        <f t="shared" si="8"/>
        <v>4.91693659294081</v>
      </c>
      <c r="D22" s="4">
        <f t="shared" si="8"/>
        <v>2.354626035348419</v>
      </c>
      <c r="E22" s="4">
        <f t="shared" si="9"/>
        <v>35.527075052470252</v>
      </c>
      <c r="F22" s="6">
        <f t="shared" si="0"/>
        <v>-40.945849895059496</v>
      </c>
      <c r="G22" s="6">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5">
      <c r="A23">
        <v>21</v>
      </c>
      <c r="B23">
        <v>72</v>
      </c>
      <c r="C23" s="4">
        <f t="shared" si="8"/>
        <v>4.7357574924828016</v>
      </c>
      <c r="D23" s="4">
        <f t="shared" si="8"/>
        <v>1.890708652583319</v>
      </c>
      <c r="E23" s="4">
        <f t="shared" si="9"/>
        <v>44.440639196732505</v>
      </c>
      <c r="F23" s="6">
        <f t="shared" si="0"/>
        <v>-55.11872160653499</v>
      </c>
      <c r="G23" s="6">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5">
      <c r="A24">
        <v>28</v>
      </c>
      <c r="B24">
        <v>86</v>
      </c>
      <c r="C24" s="4">
        <f t="shared" si="8"/>
        <v>4.8110245818103294</v>
      </c>
      <c r="D24" s="4">
        <f t="shared" si="8"/>
        <v>1.6070483714152493</v>
      </c>
      <c r="E24" s="4">
        <f t="shared" si="9"/>
        <v>49.808378981437308</v>
      </c>
      <c r="F24" s="6">
        <f t="shared" si="0"/>
        <v>-72.383242037125385</v>
      </c>
      <c r="G24" s="6">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5">
      <c r="A25">
        <v>20</v>
      </c>
      <c r="B25">
        <v>70</v>
      </c>
      <c r="C25" s="4">
        <f t="shared" si="8"/>
        <v>5.1370238348986579</v>
      </c>
      <c r="D25" s="4">
        <f t="shared" si="8"/>
        <v>1.5054536647111667</v>
      </c>
      <c r="E25" s="4">
        <f t="shared" si="9"/>
        <v>35.246097129121992</v>
      </c>
      <c r="F25" s="6">
        <f t="shared" si="0"/>
        <v>-69.507805741756016</v>
      </c>
      <c r="G25" s="6">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5">
      <c r="A26">
        <v>8</v>
      </c>
      <c r="B26">
        <v>46</v>
      </c>
      <c r="C26" s="4">
        <f t="shared" si="8"/>
        <v>5.6331196071810004</v>
      </c>
      <c r="D26" s="4">
        <f t="shared" si="8"/>
        <v>1.5074040165516844</v>
      </c>
      <c r="E26" s="4">
        <f t="shared" si="9"/>
        <v>17.692351739594475</v>
      </c>
      <c r="F26" s="6">
        <f t="shared" si="0"/>
        <v>-56.61529652081105</v>
      </c>
      <c r="G26" s="6">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5">
      <c r="A27">
        <v>64</v>
      </c>
      <c r="B27">
        <v>158</v>
      </c>
      <c r="C27" s="4">
        <f t="shared" si="8"/>
        <v>6.210424645925567</v>
      </c>
      <c r="D27" s="4">
        <f t="shared" si="8"/>
        <v>1.5351626641089862</v>
      </c>
      <c r="E27" s="4">
        <f t="shared" si="9"/>
        <v>104.46083514890068</v>
      </c>
      <c r="F27" s="6">
        <f t="shared" si="0"/>
        <v>-107.07832970219863</v>
      </c>
      <c r="G27" s="6">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5">
      <c r="A28">
        <v>99</v>
      </c>
      <c r="B28">
        <v>228</v>
      </c>
      <c r="C28" s="4">
        <f t="shared" si="8"/>
        <v>6.9967870169029807</v>
      </c>
      <c r="D28" s="4">
        <f t="shared" si="8"/>
        <v>1.9377730023851494</v>
      </c>
      <c r="E28" s="4">
        <f t="shared" si="9"/>
        <v>198.83631425303275</v>
      </c>
      <c r="F28" s="6">
        <f t="shared" si="0"/>
        <v>-58.327371493934493</v>
      </c>
      <c r="G28" s="6">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5">
      <c r="A29">
        <v>70</v>
      </c>
      <c r="B29">
        <v>170</v>
      </c>
      <c r="C29" s="4">
        <f t="shared" si="8"/>
        <v>7.7840089368128922</v>
      </c>
      <c r="D29" s="4">
        <f t="shared" si="8"/>
        <v>2.5382014930761638</v>
      </c>
      <c r="E29" s="4">
        <f t="shared" si="9"/>
        <v>185.45811345214435</v>
      </c>
      <c r="F29" s="6">
        <f t="shared" si="0"/>
        <v>30.916226904288692</v>
      </c>
      <c r="G29" s="6">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5">
      <c r="A30">
        <v>27</v>
      </c>
      <c r="B30">
        <v>84</v>
      </c>
      <c r="C30" s="4">
        <f t="shared" si="8"/>
        <v>8.2362201674663407</v>
      </c>
      <c r="D30" s="4">
        <f t="shared" si="8"/>
        <v>2.8516922305650976</v>
      </c>
      <c r="E30" s="4">
        <f t="shared" si="9"/>
        <v>85.231910392723975</v>
      </c>
      <c r="F30" s="6">
        <f t="shared" si="0"/>
        <v>2.4638207854479504</v>
      </c>
      <c r="G30" s="6">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5">
      <c r="A31">
        <v>17</v>
      </c>
      <c r="B31">
        <v>64</v>
      </c>
      <c r="C31" s="4">
        <f t="shared" si="8"/>
        <v>8.5594807333501723</v>
      </c>
      <c r="D31" s="4">
        <f t="shared" si="8"/>
        <v>3.0789329154024836</v>
      </c>
      <c r="E31" s="4">
        <f t="shared" si="9"/>
        <v>60.901340295192391</v>
      </c>
      <c r="F31" s="6">
        <f t="shared" si="0"/>
        <v>-6.1973194096152184</v>
      </c>
      <c r="G31" s="6">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5">
      <c r="A32">
        <v>8</v>
      </c>
      <c r="B32">
        <v>46</v>
      </c>
      <c r="C32" s="4">
        <f t="shared" si="8"/>
        <v>8.8254395857997245</v>
      </c>
      <c r="D32" s="4">
        <f t="shared" si="8"/>
        <v>3.2533973748521992</v>
      </c>
      <c r="E32" s="4">
        <f t="shared" si="9"/>
        <v>34.852618584617318</v>
      </c>
      <c r="F32" s="6">
        <f t="shared" si="0"/>
        <v>-22.294762830765364</v>
      </c>
      <c r="G32" s="6">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5">
      <c r="A33" s="6"/>
      <c r="B33" s="6"/>
      <c r="H33" s="3"/>
      <c r="J33">
        <v>-19.370509429769257</v>
      </c>
      <c r="K33">
        <v>-636.96204313606268</v>
      </c>
      <c r="L33" s="6">
        <v>5489.999378391848</v>
      </c>
      <c r="M33" s="6">
        <v>27555653.260482278</v>
      </c>
      <c r="O33"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defaultRowHeight="15" x14ac:dyDescent="0.25"/>
  <cols>
    <col min="3" max="3" width="8.85546875" style="4" customWidth="1"/>
    <col min="4" max="4" width="10.85546875" style="4" bestFit="1" customWidth="1"/>
    <col min="5" max="5" width="9.140625" style="4" bestFit="1" customWidth="1"/>
    <col min="6" max="6" width="9.140625" style="4" customWidth="1"/>
    <col min="7" max="7" width="10.85546875" style="6" bestFit="1" customWidth="1"/>
    <col min="8" max="8" width="10.140625" style="6" bestFit="1" customWidth="1"/>
    <col min="9" max="9" width="8.28515625" bestFit="1" customWidth="1"/>
    <col min="10" max="10" width="5.85546875" bestFit="1" customWidth="1"/>
    <col min="11" max="12" width="6.5703125" customWidth="1"/>
    <col min="13" max="13" width="8.42578125" customWidth="1"/>
    <col min="14" max="14" width="13.140625" customWidth="1"/>
  </cols>
  <sheetData>
    <row r="1" spans="1:16" x14ac:dyDescent="0.25">
      <c r="B1" t="s">
        <v>21</v>
      </c>
      <c r="C1" s="4">
        <v>1</v>
      </c>
      <c r="D1" s="4" t="s">
        <v>14</v>
      </c>
      <c r="J1" t="s">
        <v>24</v>
      </c>
      <c r="K1">
        <v>0.7</v>
      </c>
      <c r="L1">
        <f>1-K1</f>
        <v>0.30000000000000004</v>
      </c>
      <c r="M1">
        <v>0.9</v>
      </c>
      <c r="N1">
        <f>1-M1</f>
        <v>9.9999999999999978E-2</v>
      </c>
    </row>
    <row r="2" spans="1:16" x14ac:dyDescent="0.25">
      <c r="B2" t="s">
        <v>22</v>
      </c>
      <c r="C2" s="4">
        <v>1</v>
      </c>
      <c r="D2">
        <v>1</v>
      </c>
      <c r="G2" s="8"/>
      <c r="H2" s="8"/>
    </row>
    <row r="3" spans="1:16" s="2" customFormat="1" x14ac:dyDescent="0.25">
      <c r="A3" s="2" t="s">
        <v>15</v>
      </c>
      <c r="B3" s="2" t="s">
        <v>16</v>
      </c>
      <c r="C3" s="5" t="s">
        <v>21</v>
      </c>
      <c r="D3" s="5" t="s">
        <v>22</v>
      </c>
      <c r="E3" s="5" t="s">
        <v>18</v>
      </c>
      <c r="F3" s="5" t="s">
        <v>1</v>
      </c>
      <c r="G3" s="7" t="s">
        <v>6</v>
      </c>
      <c r="H3" s="7" t="s">
        <v>9</v>
      </c>
      <c r="I3" s="2" t="s">
        <v>13</v>
      </c>
      <c r="J3" s="2" t="s">
        <v>12</v>
      </c>
      <c r="K3">
        <f>K33</f>
        <v>4.223800054218521</v>
      </c>
      <c r="L3">
        <f>L33</f>
        <v>-15.966661111217437</v>
      </c>
      <c r="M3">
        <f>M33</f>
        <v>672.90108904624503</v>
      </c>
      <c r="N3">
        <f>N33</f>
        <v>2666772.9314021971</v>
      </c>
      <c r="O3"/>
      <c r="P3"/>
    </row>
    <row r="4" spans="1:16" x14ac:dyDescent="0.25">
      <c r="A4">
        <v>14</v>
      </c>
      <c r="B4">
        <v>58</v>
      </c>
      <c r="C4" s="3">
        <f>C1</f>
        <v>1</v>
      </c>
      <c r="D4" s="3">
        <f>C2</f>
        <v>1</v>
      </c>
      <c r="E4" s="3">
        <f>C4+D4*A4</f>
        <v>15</v>
      </c>
      <c r="F4" s="3">
        <f>(E4-B4)^2</f>
        <v>1849</v>
      </c>
      <c r="G4" s="6">
        <f t="shared" ref="G4:G32" si="0">2*(D4*A4+C4-B4)</f>
        <v>-86</v>
      </c>
      <c r="H4" s="6">
        <f t="shared" ref="H4:H32" si="1">G4*A4</f>
        <v>-1204</v>
      </c>
      <c r="I4" s="3">
        <f>C4-K4*$D$2/SQRT(M4)/$F$38</f>
        <v>1.6228226547538451</v>
      </c>
      <c r="J4" s="3">
        <f>D4-L4*$D$2/SQRT(N4)/$F$38</f>
        <v>1.2334176425301189</v>
      </c>
      <c r="K4">
        <f>K3*$K$1+$L$1*G4</f>
        <v>-22.84333996204704</v>
      </c>
      <c r="L4">
        <f>L3*$K$1+$L$1*H4</f>
        <v>-372.37666277785223</v>
      </c>
      <c r="M4">
        <f t="shared" ref="M4:N32" si="2">M3*$M$1+$N$1*G4^2</f>
        <v>1345.2109801416204</v>
      </c>
      <c r="N4">
        <f t="shared" si="2"/>
        <v>2545057.2382619777</v>
      </c>
    </row>
    <row r="5" spans="1:16" x14ac:dyDescent="0.25">
      <c r="A5">
        <v>86</v>
      </c>
      <c r="B5">
        <v>202</v>
      </c>
      <c r="C5" s="3">
        <f>I4</f>
        <v>1.6228226547538451</v>
      </c>
      <c r="D5" s="3">
        <f>J4</f>
        <v>1.2334176425301189</v>
      </c>
      <c r="E5" s="3">
        <f>C5+D5*A5</f>
        <v>107.69673991234407</v>
      </c>
      <c r="F5" s="3">
        <f t="shared" ref="F5:F32" si="3">(E5-B5)^2</f>
        <v>8893.1048631600788</v>
      </c>
      <c r="G5" s="6">
        <f t="shared" si="0"/>
        <v>-188.60652017531186</v>
      </c>
      <c r="H5" s="6">
        <f t="shared" si="1"/>
        <v>-16220.160735076819</v>
      </c>
      <c r="I5" s="3">
        <f t="shared" ref="I5:I32" si="4">C5-K5*$D$2/SQRT(M5)/$F$38</f>
        <v>2.6738301975603509</v>
      </c>
      <c r="J5" s="3">
        <f t="shared" ref="J5:J32" si="5">D5-L5*$D$2/SQRT(N5)/$F$38</f>
        <v>2.1920598705892598</v>
      </c>
      <c r="K5">
        <f t="shared" ref="K5:L20" si="6">K4*$K$1+$L$1*G5</f>
        <v>-72.572294026026498</v>
      </c>
      <c r="L5">
        <f t="shared" si="6"/>
        <v>-5126.7118844675433</v>
      </c>
      <c r="M5">
        <f t="shared" si="2"/>
        <v>4767.9318273914887</v>
      </c>
      <c r="N5">
        <f t="shared" si="2"/>
        <v>28599912.941608552</v>
      </c>
    </row>
    <row r="6" spans="1:16" x14ac:dyDescent="0.25">
      <c r="A6">
        <v>28</v>
      </c>
      <c r="B6">
        <v>86</v>
      </c>
      <c r="C6" s="3">
        <f>I5</f>
        <v>2.6738301975603509</v>
      </c>
      <c r="D6" s="3">
        <f>J5</f>
        <v>2.1920598705892598</v>
      </c>
      <c r="E6" s="3">
        <f>C6+D6*A6</f>
        <v>64.05150657405963</v>
      </c>
      <c r="F6" s="3">
        <f t="shared" si="3"/>
        <v>481.73636366854765</v>
      </c>
      <c r="G6" s="6">
        <f t="shared" si="0"/>
        <v>-43.89698685188074</v>
      </c>
      <c r="H6" s="6">
        <f t="shared" si="1"/>
        <v>-1229.1156318526607</v>
      </c>
      <c r="I6" s="3">
        <f t="shared" si="4"/>
        <v>3.6291518100984779</v>
      </c>
      <c r="J6" s="3">
        <f t="shared" si="5"/>
        <v>2.9698084175435473</v>
      </c>
      <c r="K6">
        <f t="shared" si="6"/>
        <v>-63.969701873782768</v>
      </c>
      <c r="L6">
        <f t="shared" si="6"/>
        <v>-3957.4330086830787</v>
      </c>
      <c r="M6">
        <f t="shared" si="2"/>
        <v>4483.8331901197589</v>
      </c>
      <c r="N6">
        <f t="shared" si="2"/>
        <v>25890994.171094153</v>
      </c>
    </row>
    <row r="7" spans="1:16" x14ac:dyDescent="0.25">
      <c r="A7">
        <v>51</v>
      </c>
      <c r="B7">
        <v>132</v>
      </c>
      <c r="C7" s="3">
        <f t="shared" ref="C7:D32" si="7">I6</f>
        <v>3.6291518100984779</v>
      </c>
      <c r="D7" s="3">
        <f t="shared" si="7"/>
        <v>2.9698084175435473</v>
      </c>
      <c r="E7" s="3">
        <f t="shared" ref="E7:E32" si="8">C7+D7*A7</f>
        <v>155.08938110481938</v>
      </c>
      <c r="F7" s="3">
        <f t="shared" si="3"/>
        <v>533.11951980359026</v>
      </c>
      <c r="G7" s="6">
        <f t="shared" si="0"/>
        <v>46.178762209638762</v>
      </c>
      <c r="H7" s="6">
        <f t="shared" si="1"/>
        <v>2355.1168726915766</v>
      </c>
      <c r="I7" s="3">
        <f t="shared" si="4"/>
        <v>4.1035948476136941</v>
      </c>
      <c r="J7" s="3">
        <f t="shared" si="5"/>
        <v>3.3923174511015532</v>
      </c>
      <c r="K7">
        <f t="shared" si="6"/>
        <v>-30.925162648756306</v>
      </c>
      <c r="L7">
        <f t="shared" si="6"/>
        <v>-2063.668044270682</v>
      </c>
      <c r="M7">
        <f t="shared" si="2"/>
        <v>4248.6976790292192</v>
      </c>
      <c r="N7">
        <f t="shared" si="2"/>
        <v>23856552.302388392</v>
      </c>
    </row>
    <row r="8" spans="1:16" x14ac:dyDescent="0.25">
      <c r="A8">
        <v>28</v>
      </c>
      <c r="B8">
        <v>86</v>
      </c>
      <c r="C8" s="3">
        <f t="shared" si="7"/>
        <v>4.1035948476136941</v>
      </c>
      <c r="D8" s="3">
        <f t="shared" si="7"/>
        <v>3.3923174511015532</v>
      </c>
      <c r="E8" s="3">
        <f t="shared" si="8"/>
        <v>99.088483478457178</v>
      </c>
      <c r="F8" s="3">
        <f t="shared" si="3"/>
        <v>171.3083997658465</v>
      </c>
      <c r="G8" s="6">
        <f t="shared" si="0"/>
        <v>26.176966956914356</v>
      </c>
      <c r="H8" s="6">
        <f t="shared" si="1"/>
        <v>732.95507479360197</v>
      </c>
      <c r="I8" s="3">
        <f t="shared" si="4"/>
        <v>4.3247009343852767</v>
      </c>
      <c r="J8" s="3">
        <f t="shared" si="5"/>
        <v>3.6562878801418925</v>
      </c>
      <c r="K8">
        <f t="shared" si="6"/>
        <v>-13.794523767055107</v>
      </c>
      <c r="L8">
        <f t="shared" si="6"/>
        <v>-1224.6811085513966</v>
      </c>
      <c r="M8">
        <f t="shared" si="2"/>
        <v>3892.3512710326359</v>
      </c>
      <c r="N8">
        <f t="shared" si="2"/>
        <v>21524619.386316121</v>
      </c>
    </row>
    <row r="9" spans="1:16" x14ac:dyDescent="0.25">
      <c r="A9">
        <v>29</v>
      </c>
      <c r="B9">
        <v>88</v>
      </c>
      <c r="C9" s="3">
        <f t="shared" si="7"/>
        <v>4.3247009343852767</v>
      </c>
      <c r="D9" s="3">
        <f t="shared" si="7"/>
        <v>3.6562878801418925</v>
      </c>
      <c r="E9" s="3">
        <f t="shared" si="8"/>
        <v>110.35704945850016</v>
      </c>
      <c r="F9" s="3">
        <f t="shared" si="3"/>
        <v>499.83766048982216</v>
      </c>
      <c r="G9" s="6">
        <f t="shared" si="0"/>
        <v>44.714098917000314</v>
      </c>
      <c r="H9" s="6">
        <f t="shared" si="1"/>
        <v>1296.7088685930091</v>
      </c>
      <c r="I9" s="3">
        <f t="shared" si="4"/>
        <v>4.2629442172318788</v>
      </c>
      <c r="J9" s="3">
        <f t="shared" si="5"/>
        <v>3.7622194071224295</v>
      </c>
      <c r="K9">
        <f t="shared" si="6"/>
        <v>3.7580630381615219</v>
      </c>
      <c r="L9">
        <f t="shared" si="6"/>
        <v>-468.26411540807476</v>
      </c>
      <c r="M9">
        <f t="shared" si="2"/>
        <v>3703.0512081253009</v>
      </c>
      <c r="N9">
        <f t="shared" si="2"/>
        <v>19540302.836673282</v>
      </c>
    </row>
    <row r="10" spans="1:16" x14ac:dyDescent="0.25">
      <c r="A10">
        <v>72</v>
      </c>
      <c r="B10">
        <v>174</v>
      </c>
      <c r="C10" s="3">
        <f t="shared" si="7"/>
        <v>4.2629442172318788</v>
      </c>
      <c r="D10" s="3">
        <f t="shared" si="7"/>
        <v>3.7622194071224295</v>
      </c>
      <c r="E10" s="3">
        <f t="shared" si="8"/>
        <v>275.14274153004681</v>
      </c>
      <c r="F10" s="3">
        <f t="shared" si="3"/>
        <v>10229.854164213855</v>
      </c>
      <c r="G10" s="6">
        <f t="shared" si="0"/>
        <v>202.28548306009361</v>
      </c>
      <c r="H10" s="6">
        <f t="shared" si="1"/>
        <v>14564.55478032674</v>
      </c>
      <c r="I10" s="3">
        <f t="shared" si="4"/>
        <v>3.5281320209872931</v>
      </c>
      <c r="J10" s="3">
        <f t="shared" si="5"/>
        <v>3.1133733788703055</v>
      </c>
      <c r="K10">
        <f t="shared" si="6"/>
        <v>63.316289044741154</v>
      </c>
      <c r="L10">
        <f t="shared" si="6"/>
        <v>4041.5815533123709</v>
      </c>
      <c r="M10">
        <f t="shared" si="2"/>
        <v>7424.6877529983121</v>
      </c>
      <c r="N10">
        <f t="shared" si="2"/>
        <v>38798898.147919804</v>
      </c>
    </row>
    <row r="11" spans="1:16" x14ac:dyDescent="0.25">
      <c r="A11">
        <v>62</v>
      </c>
      <c r="B11">
        <v>154</v>
      </c>
      <c r="C11" s="3">
        <f t="shared" si="7"/>
        <v>3.5281320209872931</v>
      </c>
      <c r="D11" s="3">
        <f t="shared" si="7"/>
        <v>3.1133733788703055</v>
      </c>
      <c r="E11" s="3">
        <f t="shared" si="8"/>
        <v>196.55728151094624</v>
      </c>
      <c r="F11" s="3">
        <f t="shared" si="3"/>
        <v>1811.1222096019267</v>
      </c>
      <c r="G11" s="6">
        <f t="shared" si="0"/>
        <v>85.114563021892479</v>
      </c>
      <c r="H11" s="6">
        <f t="shared" si="1"/>
        <v>5277.1029073573336</v>
      </c>
      <c r="I11" s="3">
        <f t="shared" si="4"/>
        <v>2.7164407849577321</v>
      </c>
      <c r="J11" s="3">
        <f t="shared" si="5"/>
        <v>2.3948077767174509</v>
      </c>
      <c r="K11">
        <f t="shared" si="6"/>
        <v>69.855771237886557</v>
      </c>
      <c r="L11">
        <f t="shared" si="6"/>
        <v>4412.2379595258599</v>
      </c>
      <c r="M11">
        <f t="shared" si="2"/>
        <v>7406.667861539252</v>
      </c>
      <c r="N11">
        <f t="shared" si="2"/>
        <v>37703789.842611745</v>
      </c>
    </row>
    <row r="12" spans="1:16" x14ac:dyDescent="0.25">
      <c r="A12">
        <v>84</v>
      </c>
      <c r="B12">
        <v>198</v>
      </c>
      <c r="C12" s="3">
        <f t="shared" si="7"/>
        <v>2.7164407849577321</v>
      </c>
      <c r="D12" s="3">
        <f t="shared" si="7"/>
        <v>2.3948077767174509</v>
      </c>
      <c r="E12" s="3">
        <f t="shared" si="8"/>
        <v>203.88029402922362</v>
      </c>
      <c r="F12" s="3">
        <f t="shared" si="3"/>
        <v>34.577857870122955</v>
      </c>
      <c r="G12" s="6">
        <f t="shared" si="0"/>
        <v>11.76058805844724</v>
      </c>
      <c r="H12" s="6">
        <f t="shared" si="1"/>
        <v>987.88939690956818</v>
      </c>
      <c r="I12" s="3">
        <f t="shared" si="4"/>
        <v>2.0749742244971272</v>
      </c>
      <c r="J12" s="3">
        <f t="shared" si="5"/>
        <v>1.8145609824457738</v>
      </c>
      <c r="K12">
        <f t="shared" si="6"/>
        <v>52.427216284054765</v>
      </c>
      <c r="L12">
        <f t="shared" si="6"/>
        <v>3384.9333907409723</v>
      </c>
      <c r="M12">
        <f t="shared" si="2"/>
        <v>6679.8322185333755</v>
      </c>
      <c r="N12">
        <f t="shared" si="2"/>
        <v>34031003.40440321</v>
      </c>
    </row>
    <row r="13" spans="1:16" x14ac:dyDescent="0.25">
      <c r="A13">
        <v>15</v>
      </c>
      <c r="B13">
        <v>60</v>
      </c>
      <c r="C13" s="3">
        <f t="shared" si="7"/>
        <v>2.0749742244971272</v>
      </c>
      <c r="D13" s="3">
        <f t="shared" si="7"/>
        <v>1.8145609824457738</v>
      </c>
      <c r="E13" s="3">
        <f t="shared" si="8"/>
        <v>29.293388961183734</v>
      </c>
      <c r="F13" s="3">
        <f t="shared" si="3"/>
        <v>942.89596148915302</v>
      </c>
      <c r="G13" s="6">
        <f t="shared" si="0"/>
        <v>-61.413222077632533</v>
      </c>
      <c r="H13" s="6">
        <f t="shared" si="1"/>
        <v>-921.19833116448797</v>
      </c>
      <c r="I13" s="3">
        <f t="shared" si="4"/>
        <v>1.8463392290631262</v>
      </c>
      <c r="J13" s="3">
        <f t="shared" si="5"/>
        <v>1.436876399369766</v>
      </c>
      <c r="K13">
        <f t="shared" si="6"/>
        <v>18.275084775548574</v>
      </c>
      <c r="L13">
        <f t="shared" si="6"/>
        <v>2093.093874169334</v>
      </c>
      <c r="M13">
        <f t="shared" si="2"/>
        <v>6389.0073812756991</v>
      </c>
      <c r="N13">
        <f t="shared" si="2"/>
        <v>30712763.700496912</v>
      </c>
    </row>
    <row r="14" spans="1:16" x14ac:dyDescent="0.25">
      <c r="A14">
        <v>42</v>
      </c>
      <c r="B14">
        <v>114</v>
      </c>
      <c r="C14" s="3">
        <f t="shared" si="7"/>
        <v>1.8463392290631262</v>
      </c>
      <c r="D14" s="3">
        <f t="shared" si="7"/>
        <v>1.436876399369766</v>
      </c>
      <c r="E14" s="3">
        <f t="shared" si="8"/>
        <v>62.195148002593299</v>
      </c>
      <c r="F14" s="3">
        <f t="shared" si="3"/>
        <v>2683.7426904732129</v>
      </c>
      <c r="G14" s="6">
        <f t="shared" si="0"/>
        <v>-103.6097039948134</v>
      </c>
      <c r="H14" s="6">
        <f t="shared" si="1"/>
        <v>-4351.6075677821627</v>
      </c>
      <c r="I14" s="3">
        <f t="shared" si="4"/>
        <v>2.0677583700487943</v>
      </c>
      <c r="J14" s="3">
        <f t="shared" si="5"/>
        <v>1.4074937876967266</v>
      </c>
      <c r="K14">
        <f t="shared" si="6"/>
        <v>-18.290351855560022</v>
      </c>
      <c r="L14">
        <f t="shared" si="6"/>
        <v>159.68344158388459</v>
      </c>
      <c r="M14">
        <f t="shared" si="2"/>
        <v>6823.6037193374141</v>
      </c>
      <c r="N14">
        <f t="shared" si="2"/>
        <v>29535136.172845121</v>
      </c>
    </row>
    <row r="15" spans="1:16" x14ac:dyDescent="0.25">
      <c r="A15">
        <v>62</v>
      </c>
      <c r="B15">
        <v>154</v>
      </c>
      <c r="C15" s="3">
        <f t="shared" si="7"/>
        <v>2.0677583700487943</v>
      </c>
      <c r="D15" s="3">
        <f>J14</f>
        <v>1.4074937876967266</v>
      </c>
      <c r="E15" s="3">
        <f t="shared" si="8"/>
        <v>89.332373207245837</v>
      </c>
      <c r="F15" s="3">
        <f t="shared" si="3"/>
        <v>4181.9019550069361</v>
      </c>
      <c r="G15" s="6">
        <f t="shared" si="0"/>
        <v>-129.33525358550833</v>
      </c>
      <c r="H15" s="6">
        <f t="shared" si="1"/>
        <v>-8018.7857223015162</v>
      </c>
      <c r="I15" s="3">
        <f t="shared" si="4"/>
        <v>2.6515327799079595</v>
      </c>
      <c r="J15" s="3">
        <f t="shared" si="5"/>
        <v>1.8067322323520627</v>
      </c>
      <c r="K15">
        <f t="shared" si="6"/>
        <v>-51.603822374544514</v>
      </c>
      <c r="L15">
        <f t="shared" si="6"/>
        <v>-2293.8573075817362</v>
      </c>
      <c r="M15">
        <f t="shared" si="2"/>
        <v>7814.0041294064467</v>
      </c>
      <c r="N15">
        <f t="shared" si="2"/>
        <v>33011715.001579277</v>
      </c>
    </row>
    <row r="16" spans="1:16" x14ac:dyDescent="0.25">
      <c r="A16">
        <v>47</v>
      </c>
      <c r="B16">
        <v>124</v>
      </c>
      <c r="C16" s="3">
        <f t="shared" si="7"/>
        <v>2.6515327799079595</v>
      </c>
      <c r="D16" s="3">
        <f t="shared" si="7"/>
        <v>1.8067322323520627</v>
      </c>
      <c r="E16" s="3">
        <f t="shared" si="8"/>
        <v>87.567947700454894</v>
      </c>
      <c r="F16" s="3">
        <f t="shared" si="3"/>
        <v>1327.2944347567898</v>
      </c>
      <c r="G16" s="6">
        <f t="shared" si="0"/>
        <v>-72.864104599090211</v>
      </c>
      <c r="H16" s="6">
        <f t="shared" si="1"/>
        <v>-3424.6129161572399</v>
      </c>
      <c r="I16" s="3">
        <f t="shared" si="4"/>
        <v>3.3182328069249198</v>
      </c>
      <c r="J16" s="3">
        <f t="shared" si="5"/>
        <v>2.2805404350114982</v>
      </c>
      <c r="K16">
        <f t="shared" si="6"/>
        <v>-57.981907041908229</v>
      </c>
      <c r="L16">
        <f t="shared" si="6"/>
        <v>-2633.0839901543877</v>
      </c>
      <c r="M16">
        <f t="shared" si="2"/>
        <v>7563.5214903685173</v>
      </c>
      <c r="N16">
        <f t="shared" si="2"/>
        <v>30883340.863972452</v>
      </c>
    </row>
    <row r="17" spans="1:14" x14ac:dyDescent="0.25">
      <c r="A17">
        <v>35</v>
      </c>
      <c r="B17">
        <v>100</v>
      </c>
      <c r="C17" s="3">
        <f t="shared" si="7"/>
        <v>3.3182328069249198</v>
      </c>
      <c r="D17" s="3">
        <f t="shared" si="7"/>
        <v>2.2805404350114982</v>
      </c>
      <c r="E17" s="3">
        <f t="shared" si="8"/>
        <v>83.13714803232736</v>
      </c>
      <c r="F17" s="3">
        <f t="shared" si="3"/>
        <v>284.35577648364102</v>
      </c>
      <c r="G17" s="6">
        <f t="shared" si="0"/>
        <v>-33.72570393534528</v>
      </c>
      <c r="H17" s="6">
        <f t="shared" si="1"/>
        <v>-1180.3996377370847</v>
      </c>
      <c r="I17" s="3">
        <f t="shared" si="4"/>
        <v>3.9277269397414845</v>
      </c>
      <c r="J17" s="3">
        <f t="shared" si="5"/>
        <v>2.6962748014300804</v>
      </c>
      <c r="K17">
        <f t="shared" si="6"/>
        <v>-50.705046109939346</v>
      </c>
      <c r="L17">
        <f t="shared" si="6"/>
        <v>-2197.2786844291968</v>
      </c>
      <c r="M17">
        <f t="shared" si="2"/>
        <v>6920.9116519251229</v>
      </c>
      <c r="N17">
        <f t="shared" si="2"/>
        <v>27934341.10805219</v>
      </c>
    </row>
    <row r="18" spans="1:14" x14ac:dyDescent="0.25">
      <c r="A18">
        <v>9</v>
      </c>
      <c r="B18">
        <v>48</v>
      </c>
      <c r="C18" s="3">
        <f t="shared" si="7"/>
        <v>3.9277269397414845</v>
      </c>
      <c r="D18" s="3">
        <f t="shared" si="7"/>
        <v>2.6962748014300804</v>
      </c>
      <c r="E18" s="3">
        <f t="shared" si="8"/>
        <v>28.194200152612204</v>
      </c>
      <c r="F18" s="3">
        <f t="shared" si="3"/>
        <v>392.26970759478644</v>
      </c>
      <c r="G18" s="6">
        <f t="shared" si="0"/>
        <v>-39.611599694775592</v>
      </c>
      <c r="H18" s="6">
        <f t="shared" si="1"/>
        <v>-356.50439725298031</v>
      </c>
      <c r="I18" s="3">
        <f t="shared" si="4"/>
        <v>4.5206009984374624</v>
      </c>
      <c r="J18" s="3">
        <f t="shared" si="5"/>
        <v>3.0242778904283361</v>
      </c>
      <c r="K18">
        <f t="shared" si="6"/>
        <v>-47.377012185390214</v>
      </c>
      <c r="L18">
        <f t="shared" si="6"/>
        <v>-1645.0463982763317</v>
      </c>
      <c r="M18">
        <f t="shared" si="2"/>
        <v>6385.7283697705252</v>
      </c>
      <c r="N18">
        <f t="shared" si="2"/>
        <v>25153616.535773043</v>
      </c>
    </row>
    <row r="19" spans="1:14" x14ac:dyDescent="0.25">
      <c r="A19">
        <v>38</v>
      </c>
      <c r="B19">
        <v>106</v>
      </c>
      <c r="C19" s="3">
        <f t="shared" si="7"/>
        <v>4.5206009984374624</v>
      </c>
      <c r="D19" s="3">
        <f t="shared" si="7"/>
        <v>3.0242778904283361</v>
      </c>
      <c r="E19" s="3">
        <f t="shared" si="8"/>
        <v>119.44316083471423</v>
      </c>
      <c r="F19" s="3">
        <f t="shared" si="3"/>
        <v>180.71857322799471</v>
      </c>
      <c r="G19" s="6">
        <f t="shared" si="0"/>
        <v>26.886321669428469</v>
      </c>
      <c r="H19" s="6">
        <f t="shared" si="1"/>
        <v>1021.6802234382818</v>
      </c>
      <c r="I19" s="3">
        <f t="shared" si="4"/>
        <v>4.8496030568660711</v>
      </c>
      <c r="J19" s="3">
        <f t="shared" si="5"/>
        <v>3.2014726576531061</v>
      </c>
      <c r="K19">
        <f t="shared" si="6"/>
        <v>-25.098012028944602</v>
      </c>
      <c r="L19">
        <f t="shared" si="6"/>
        <v>-845.02841176194761</v>
      </c>
      <c r="M19">
        <f t="shared" si="2"/>
        <v>5819.4429620846704</v>
      </c>
      <c r="N19">
        <f t="shared" si="2"/>
        <v>22742637.930092227</v>
      </c>
    </row>
    <row r="20" spans="1:14" x14ac:dyDescent="0.25">
      <c r="A20">
        <v>44</v>
      </c>
      <c r="B20">
        <v>118</v>
      </c>
      <c r="C20" s="3">
        <f t="shared" si="7"/>
        <v>4.8496030568660711</v>
      </c>
      <c r="D20" s="3">
        <f t="shared" si="7"/>
        <v>3.2014726576531061</v>
      </c>
      <c r="E20" s="3">
        <f t="shared" si="8"/>
        <v>145.71439999360274</v>
      </c>
      <c r="F20" s="3">
        <f t="shared" si="3"/>
        <v>768.08796700540756</v>
      </c>
      <c r="G20" s="6">
        <f t="shared" si="0"/>
        <v>55.42879998720548</v>
      </c>
      <c r="H20" s="6">
        <f t="shared" si="1"/>
        <v>2438.8671994370411</v>
      </c>
      <c r="I20" s="3">
        <f t="shared" si="4"/>
        <v>4.8622263571214077</v>
      </c>
      <c r="J20" s="3">
        <f t="shared" si="5"/>
        <v>3.1709374434965127</v>
      </c>
      <c r="K20">
        <f t="shared" si="6"/>
        <v>-0.93996842409957537</v>
      </c>
      <c r="L20">
        <f t="shared" si="6"/>
        <v>140.14027159774912</v>
      </c>
      <c r="M20">
        <f t="shared" si="2"/>
        <v>5544.7338526783669</v>
      </c>
      <c r="N20">
        <f t="shared" si="2"/>
        <v>21063181.458731994</v>
      </c>
    </row>
    <row r="21" spans="1:14" x14ac:dyDescent="0.25">
      <c r="A21">
        <v>99</v>
      </c>
      <c r="B21">
        <v>228</v>
      </c>
      <c r="C21" s="3">
        <f t="shared" si="7"/>
        <v>4.8622263571214077</v>
      </c>
      <c r="D21" s="3">
        <f t="shared" si="7"/>
        <v>3.1709374434965127</v>
      </c>
      <c r="E21" s="3">
        <f t="shared" si="8"/>
        <v>318.78503326327615</v>
      </c>
      <c r="F21" s="3">
        <f t="shared" si="3"/>
        <v>8241.922264614157</v>
      </c>
      <c r="G21" s="6">
        <f t="shared" si="0"/>
        <v>181.5700665265523</v>
      </c>
      <c r="H21" s="6">
        <f t="shared" si="1"/>
        <v>17975.436586128679</v>
      </c>
      <c r="I21" s="3">
        <f t="shared" si="4"/>
        <v>4.2710894099923173</v>
      </c>
      <c r="J21" s="3">
        <f t="shared" si="5"/>
        <v>2.4040974824814256</v>
      </c>
      <c r="K21">
        <f t="shared" ref="K21:L32" si="9">K20*$K$1+$L$1*G21</f>
        <v>53.813042061095992</v>
      </c>
      <c r="L21">
        <f t="shared" si="9"/>
        <v>5490.7291659570283</v>
      </c>
      <c r="M21">
        <f t="shared" si="2"/>
        <v>8287.0293732561931</v>
      </c>
      <c r="N21">
        <f t="shared" si="2"/>
        <v>51268495.359052129</v>
      </c>
    </row>
    <row r="22" spans="1:14" x14ac:dyDescent="0.25">
      <c r="A22">
        <v>13</v>
      </c>
      <c r="B22">
        <v>56</v>
      </c>
      <c r="C22" s="3">
        <f t="shared" si="7"/>
        <v>4.2710894099923173</v>
      </c>
      <c r="D22" s="3">
        <f t="shared" si="7"/>
        <v>2.4040974824814256</v>
      </c>
      <c r="E22" s="3">
        <f t="shared" si="8"/>
        <v>35.524356682250854</v>
      </c>
      <c r="F22" s="3">
        <f t="shared" si="3"/>
        <v>419.25196927568527</v>
      </c>
      <c r="G22" s="6">
        <f t="shared" si="0"/>
        <v>-40.951286635498292</v>
      </c>
      <c r="H22" s="6">
        <f t="shared" si="1"/>
        <v>-532.36672626147777</v>
      </c>
      <c r="I22" s="3">
        <f t="shared" si="4"/>
        <v>3.9804152044489416</v>
      </c>
      <c r="J22" s="3">
        <f t="shared" si="5"/>
        <v>1.8619515382709513</v>
      </c>
      <c r="K22">
        <f t="shared" si="9"/>
        <v>25.383743452117706</v>
      </c>
      <c r="L22">
        <f t="shared" si="9"/>
        <v>3683.8003982914761</v>
      </c>
      <c r="M22">
        <f t="shared" si="2"/>
        <v>7626.0272236408482</v>
      </c>
      <c r="N22">
        <f t="shared" si="2"/>
        <v>46169987.256269954</v>
      </c>
    </row>
    <row r="23" spans="1:14" x14ac:dyDescent="0.25">
      <c r="A23">
        <v>21</v>
      </c>
      <c r="B23">
        <v>72</v>
      </c>
      <c r="C23" s="3">
        <f t="shared" si="7"/>
        <v>3.9804152044489416</v>
      </c>
      <c r="D23" s="3">
        <f t="shared" si="7"/>
        <v>1.8619515382709513</v>
      </c>
      <c r="E23" s="3">
        <f t="shared" si="8"/>
        <v>43.081397508138913</v>
      </c>
      <c r="F23" s="3">
        <f t="shared" si="3"/>
        <v>836.28557008227426</v>
      </c>
      <c r="G23" s="6">
        <f t="shared" si="0"/>
        <v>-57.837204983722174</v>
      </c>
      <c r="H23" s="6">
        <f t="shared" si="1"/>
        <v>-1214.5813046581657</v>
      </c>
      <c r="I23" s="3">
        <f t="shared" si="4"/>
        <v>3.9754946994893468</v>
      </c>
      <c r="J23" s="3">
        <f t="shared" si="5"/>
        <v>1.5190550696342595</v>
      </c>
      <c r="K23">
        <f t="shared" si="9"/>
        <v>0.41745892136573559</v>
      </c>
      <c r="L23">
        <f t="shared" si="9"/>
        <v>2214.2858874065832</v>
      </c>
      <c r="M23">
        <f t="shared" si="2"/>
        <v>7197.9387293096734</v>
      </c>
      <c r="N23">
        <f t="shared" si="2"/>
        <v>41700509.305205472</v>
      </c>
    </row>
    <row r="24" spans="1:14" x14ac:dyDescent="0.25">
      <c r="A24">
        <v>28</v>
      </c>
      <c r="B24">
        <v>86</v>
      </c>
      <c r="C24" s="3">
        <f t="shared" si="7"/>
        <v>3.9754946994893468</v>
      </c>
      <c r="D24" s="3">
        <f t="shared" si="7"/>
        <v>1.5190550696342595</v>
      </c>
      <c r="E24" s="3">
        <f t="shared" si="8"/>
        <v>46.509036649248614</v>
      </c>
      <c r="F24" s="3">
        <f t="shared" si="3"/>
        <v>1559.536186370389</v>
      </c>
      <c r="G24" s="6">
        <f t="shared" si="0"/>
        <v>-78.981926701502772</v>
      </c>
      <c r="H24" s="6">
        <f t="shared" si="1"/>
        <v>-2211.4939476420777</v>
      </c>
      <c r="I24" s="3">
        <f t="shared" si="4"/>
        <v>4.2531912629467268</v>
      </c>
      <c r="J24" s="3">
        <f t="shared" si="5"/>
        <v>1.3752742956170223</v>
      </c>
      <c r="K24">
        <f t="shared" si="9"/>
        <v>-23.402356765494822</v>
      </c>
      <c r="L24">
        <f t="shared" si="9"/>
        <v>886.55193689198472</v>
      </c>
      <c r="M24">
        <f t="shared" si="2"/>
        <v>7101.9593309268621</v>
      </c>
      <c r="N24">
        <f t="shared" si="2"/>
        <v>38019528.922730677</v>
      </c>
    </row>
    <row r="25" spans="1:14" x14ac:dyDescent="0.25">
      <c r="A25">
        <v>20</v>
      </c>
      <c r="B25">
        <v>70</v>
      </c>
      <c r="C25" s="3">
        <f t="shared" si="7"/>
        <v>4.2531912629467268</v>
      </c>
      <c r="D25" s="3">
        <f t="shared" si="7"/>
        <v>1.3752742956170223</v>
      </c>
      <c r="E25" s="3">
        <f t="shared" si="8"/>
        <v>31.758677175287175</v>
      </c>
      <c r="F25" s="3">
        <f t="shared" si="3"/>
        <v>1462.3987713839019</v>
      </c>
      <c r="G25" s="6">
        <f t="shared" si="0"/>
        <v>-76.482645649425649</v>
      </c>
      <c r="H25" s="6">
        <f t="shared" si="1"/>
        <v>-1529.652912988513</v>
      </c>
      <c r="I25" s="3">
        <f t="shared" si="4"/>
        <v>4.7240156336475074</v>
      </c>
      <c r="J25" s="3">
        <f t="shared" si="5"/>
        <v>1.347726933970729</v>
      </c>
      <c r="K25">
        <f t="shared" si="9"/>
        <v>-39.326443430674075</v>
      </c>
      <c r="L25">
        <f t="shared" si="9"/>
        <v>161.69048192783526</v>
      </c>
      <c r="M25">
        <f t="shared" si="2"/>
        <v>6976.7229063877367</v>
      </c>
      <c r="N25">
        <f t="shared" si="2"/>
        <v>34451559.833879031</v>
      </c>
    </row>
    <row r="26" spans="1:14" x14ac:dyDescent="0.25">
      <c r="A26">
        <v>8</v>
      </c>
      <c r="B26">
        <v>46</v>
      </c>
      <c r="C26" s="3">
        <f t="shared" si="7"/>
        <v>4.7240156336475074</v>
      </c>
      <c r="D26" s="3">
        <f t="shared" si="7"/>
        <v>1.347726933970729</v>
      </c>
      <c r="E26" s="3">
        <f t="shared" si="8"/>
        <v>15.505831105413339</v>
      </c>
      <c r="F26" s="3">
        <f t="shared" si="3"/>
        <v>929.89433657157667</v>
      </c>
      <c r="G26" s="6">
        <f t="shared" si="0"/>
        <v>-60.988337789173322</v>
      </c>
      <c r="H26" s="6">
        <f t="shared" si="1"/>
        <v>-487.90670231338657</v>
      </c>
      <c r="I26" s="3">
        <f t="shared" si="4"/>
        <v>5.2859153829545518</v>
      </c>
      <c r="J26" s="3">
        <f t="shared" si="5"/>
        <v>1.3536848933958632</v>
      </c>
      <c r="K26">
        <f t="shared" si="9"/>
        <v>-45.82501173822385</v>
      </c>
      <c r="L26">
        <f t="shared" si="9"/>
        <v>-33.18867334453131</v>
      </c>
      <c r="M26">
        <f t="shared" si="2"/>
        <v>6651.0083503775941</v>
      </c>
      <c r="N26">
        <f t="shared" si="2"/>
        <v>31030209.145507362</v>
      </c>
    </row>
    <row r="27" spans="1:14" x14ac:dyDescent="0.25">
      <c r="A27">
        <v>64</v>
      </c>
      <c r="B27">
        <v>158</v>
      </c>
      <c r="C27" s="3">
        <f t="shared" si="7"/>
        <v>5.2859153829545518</v>
      </c>
      <c r="D27" s="3">
        <f t="shared" si="7"/>
        <v>1.3536848933958632</v>
      </c>
      <c r="E27" s="3">
        <f t="shared" si="8"/>
        <v>91.921748560289799</v>
      </c>
      <c r="F27" s="3">
        <f t="shared" si="3"/>
        <v>4366.3353133295632</v>
      </c>
      <c r="G27" s="6">
        <f t="shared" si="0"/>
        <v>-132.1565028794204</v>
      </c>
      <c r="H27" s="6">
        <f t="shared" si="1"/>
        <v>-8458.0161842829057</v>
      </c>
      <c r="I27" s="3">
        <f t="shared" si="4"/>
        <v>6.101574990746788</v>
      </c>
      <c r="J27" s="3">
        <f t="shared" si="5"/>
        <v>1.7860116067024805</v>
      </c>
      <c r="K27">
        <f t="shared" si="9"/>
        <v>-71.724459080582818</v>
      </c>
      <c r="L27">
        <f t="shared" si="9"/>
        <v>-2560.636926626044</v>
      </c>
      <c r="M27">
        <f t="shared" si="2"/>
        <v>7732.4416406716591</v>
      </c>
      <c r="N27">
        <f t="shared" si="2"/>
        <v>35080992.008315779</v>
      </c>
    </row>
    <row r="28" spans="1:14" x14ac:dyDescent="0.25">
      <c r="A28">
        <v>99</v>
      </c>
      <c r="B28">
        <v>228</v>
      </c>
      <c r="C28" s="3">
        <f t="shared" si="7"/>
        <v>6.101574990746788</v>
      </c>
      <c r="D28" s="3">
        <f t="shared" si="7"/>
        <v>1.7860116067024805</v>
      </c>
      <c r="E28" s="3">
        <f t="shared" si="8"/>
        <v>182.91672405429236</v>
      </c>
      <c r="F28" s="3">
        <f t="shared" si="3"/>
        <v>2032.5017699968212</v>
      </c>
      <c r="G28" s="6">
        <f t="shared" si="0"/>
        <v>-90.166551891415281</v>
      </c>
      <c r="H28" s="6">
        <f t="shared" si="1"/>
        <v>-8926.4886372501132</v>
      </c>
      <c r="I28" s="3">
        <f t="shared" si="4"/>
        <v>6.9779023997436784</v>
      </c>
      <c r="J28" s="3">
        <f t="shared" si="5"/>
        <v>2.4969323831555772</v>
      </c>
      <c r="K28">
        <f t="shared" si="9"/>
        <v>-77.25708692383256</v>
      </c>
      <c r="L28">
        <f t="shared" si="9"/>
        <v>-4470.3924398132649</v>
      </c>
      <c r="M28">
        <f t="shared" si="2"/>
        <v>7772.1981846032213</v>
      </c>
      <c r="N28">
        <f t="shared" si="2"/>
        <v>39541112.746579736</v>
      </c>
    </row>
    <row r="29" spans="1:14" x14ac:dyDescent="0.25">
      <c r="A29">
        <v>70</v>
      </c>
      <c r="B29">
        <v>170</v>
      </c>
      <c r="C29" s="3">
        <f t="shared" si="7"/>
        <v>6.9779023997436784</v>
      </c>
      <c r="D29" s="3">
        <f t="shared" si="7"/>
        <v>2.4969323831555772</v>
      </c>
      <c r="E29" s="3">
        <f t="shared" si="8"/>
        <v>181.76316922063407</v>
      </c>
      <c r="F29" s="3">
        <f t="shared" si="3"/>
        <v>138.37215011327274</v>
      </c>
      <c r="G29" s="6">
        <f t="shared" si="0"/>
        <v>23.526338441268138</v>
      </c>
      <c r="H29" s="6">
        <f t="shared" si="1"/>
        <v>1646.8436908887697</v>
      </c>
      <c r="I29" s="3">
        <f t="shared" si="4"/>
        <v>7.5379139801433137</v>
      </c>
      <c r="J29" s="3">
        <f t="shared" si="5"/>
        <v>2.9370034672785499</v>
      </c>
      <c r="K29">
        <f t="shared" si="9"/>
        <v>-47.022059314302346</v>
      </c>
      <c r="L29">
        <f t="shared" si="9"/>
        <v>-2635.2216006026542</v>
      </c>
      <c r="M29">
        <f t="shared" si="2"/>
        <v>7050.3272261882084</v>
      </c>
      <c r="N29">
        <f t="shared" si="2"/>
        <v>35858210.886143781</v>
      </c>
    </row>
    <row r="30" spans="1:14" x14ac:dyDescent="0.25">
      <c r="A30">
        <v>27</v>
      </c>
      <c r="B30">
        <v>84</v>
      </c>
      <c r="C30" s="3">
        <f t="shared" si="7"/>
        <v>7.5379139801433137</v>
      </c>
      <c r="D30" s="3">
        <f t="shared" si="7"/>
        <v>2.9370034672785499</v>
      </c>
      <c r="E30" s="3">
        <f t="shared" si="8"/>
        <v>86.837007596664165</v>
      </c>
      <c r="F30" s="3">
        <f t="shared" si="3"/>
        <v>8.0486121035301821</v>
      </c>
      <c r="G30" s="6">
        <f t="shared" si="0"/>
        <v>5.67401519332833</v>
      </c>
      <c r="H30" s="6">
        <f t="shared" si="1"/>
        <v>153.19841021986491</v>
      </c>
      <c r="I30" s="3">
        <f t="shared" si="4"/>
        <v>7.9296583561727489</v>
      </c>
      <c r="J30" s="3">
        <f t="shared" si="5"/>
        <v>3.2536146989050541</v>
      </c>
      <c r="K30">
        <f t="shared" si="9"/>
        <v>-31.213236962013141</v>
      </c>
      <c r="L30">
        <f t="shared" si="9"/>
        <v>-1798.6955973558984</v>
      </c>
      <c r="M30">
        <f t="shared" si="2"/>
        <v>6348.5139484107995</v>
      </c>
      <c r="N30">
        <f t="shared" si="2"/>
        <v>32274736.772818793</v>
      </c>
    </row>
    <row r="31" spans="1:14" x14ac:dyDescent="0.25">
      <c r="A31">
        <v>17</v>
      </c>
      <c r="B31">
        <v>64</v>
      </c>
      <c r="C31" s="3">
        <f t="shared" si="7"/>
        <v>7.9296583561727489</v>
      </c>
      <c r="D31" s="3">
        <f t="shared" si="7"/>
        <v>3.2536146989050541</v>
      </c>
      <c r="E31" s="3">
        <f t="shared" si="8"/>
        <v>63.24110823755867</v>
      </c>
      <c r="F31" s="3">
        <f t="shared" si="3"/>
        <v>0.57591670710130782</v>
      </c>
      <c r="G31" s="6">
        <f t="shared" si="0"/>
        <v>-1.5177835248826597</v>
      </c>
      <c r="H31" s="6">
        <f t="shared" si="1"/>
        <v>-25.802319923005214</v>
      </c>
      <c r="I31" s="3">
        <f t="shared" si="4"/>
        <v>8.2247306336053132</v>
      </c>
      <c r="J31" s="3">
        <f t="shared" si="5"/>
        <v>3.4886669499086054</v>
      </c>
      <c r="K31">
        <f t="shared" si="9"/>
        <v>-22.304600930873995</v>
      </c>
      <c r="L31">
        <f t="shared" si="9"/>
        <v>-1266.8276141260303</v>
      </c>
      <c r="M31">
        <f t="shared" si="2"/>
        <v>5713.8929202525596</v>
      </c>
      <c r="N31">
        <f t="shared" si="2"/>
        <v>29047329.671508256</v>
      </c>
    </row>
    <row r="32" spans="1:14" x14ac:dyDescent="0.25">
      <c r="A32">
        <v>8</v>
      </c>
      <c r="B32">
        <v>46</v>
      </c>
      <c r="C32" s="3">
        <f t="shared" si="7"/>
        <v>8.2247306336053132</v>
      </c>
      <c r="D32" s="3">
        <f t="shared" si="7"/>
        <v>3.4886669499086054</v>
      </c>
      <c r="E32" s="3">
        <f t="shared" si="8"/>
        <v>36.134066232874154</v>
      </c>
      <c r="F32" s="3">
        <f t="shared" si="3"/>
        <v>97.33664909731398</v>
      </c>
      <c r="G32" s="6">
        <f t="shared" si="0"/>
        <v>-19.731867534251691</v>
      </c>
      <c r="H32" s="6">
        <f t="shared" si="1"/>
        <v>-157.85494027401353</v>
      </c>
      <c r="I32" s="3">
        <f t="shared" si="4"/>
        <v>8.5238709554993228</v>
      </c>
      <c r="J32" s="3">
        <f t="shared" si="5"/>
        <v>3.6713570289290445</v>
      </c>
      <c r="K32">
        <f t="shared" si="9"/>
        <v>-21.532780911887304</v>
      </c>
      <c r="L32">
        <f t="shared" si="9"/>
        <v>-934.13581197042515</v>
      </c>
      <c r="M32">
        <f t="shared" si="2"/>
        <v>5181.43828786623</v>
      </c>
      <c r="N32">
        <f t="shared" si="2"/>
        <v>26145088.52257432</v>
      </c>
    </row>
    <row r="33" spans="1:16" x14ac:dyDescent="0.25">
      <c r="A33" s="6"/>
      <c r="B33" s="6"/>
      <c r="E33" s="4" t="s">
        <v>25</v>
      </c>
      <c r="F33" s="4">
        <f>SQRT(SUM(F4:F32))</f>
        <v>235.28150716589968</v>
      </c>
      <c r="I33" s="3"/>
      <c r="K33">
        <v>4.223800054218521</v>
      </c>
      <c r="L33">
        <v>-15.966661111217437</v>
      </c>
      <c r="M33" s="6">
        <v>672.90108904624503</v>
      </c>
      <c r="N33" s="6">
        <v>2666772.9314021971</v>
      </c>
      <c r="P33" s="9"/>
    </row>
    <row r="34" spans="1:16" x14ac:dyDescent="0.25">
      <c r="E34" s="4" t="s">
        <v>26</v>
      </c>
      <c r="F34" s="4">
        <v>239.79849927509557</v>
      </c>
    </row>
    <row r="35" spans="1:16" x14ac:dyDescent="0.25">
      <c r="E35" s="4" t="s">
        <v>27</v>
      </c>
      <c r="F35" s="4">
        <v>119.89924963754778</v>
      </c>
    </row>
    <row r="36" spans="1:16" x14ac:dyDescent="0.25">
      <c r="E36" s="4" t="s">
        <v>28</v>
      </c>
      <c r="F36" s="6">
        <f>ABS(ft_1-ft_2)/MIN(ft_1,ft_2)</f>
        <v>1</v>
      </c>
    </row>
    <row r="37" spans="1:16" x14ac:dyDescent="0.25">
      <c r="E37" s="4" t="s">
        <v>29</v>
      </c>
      <c r="F37" s="6">
        <v>1</v>
      </c>
      <c r="H37" s="6" t="s">
        <v>24</v>
      </c>
    </row>
    <row r="38" spans="1:16" x14ac:dyDescent="0.25">
      <c r="E38" s="4" t="s">
        <v>30</v>
      </c>
      <c r="F38" s="6">
        <f>dt_1*H38+(1-H38)*rtee</f>
        <v>1</v>
      </c>
      <c r="H38" s="6">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zoomScale="120" zoomScaleNormal="120" workbookViewId="0">
      <selection activeCell="J1" sqref="J1"/>
    </sheetView>
  </sheetViews>
  <sheetFormatPr defaultRowHeight="15" x14ac:dyDescent="0.25"/>
  <cols>
    <col min="1" max="1" width="9.7109375" customWidth="1"/>
    <col min="2" max="2" width="3.85546875" bestFit="1" customWidth="1"/>
    <col min="3" max="5" width="9.140625" style="4"/>
    <col min="6" max="6" width="9" bestFit="1" customWidth="1"/>
    <col min="7" max="7" width="12.85546875" customWidth="1"/>
    <col min="8" max="8" width="13.140625" customWidth="1"/>
    <col min="9" max="9" width="9" bestFit="1" customWidth="1"/>
  </cols>
  <sheetData>
    <row r="1" spans="1:10" x14ac:dyDescent="0.25">
      <c r="B1" t="s">
        <v>21</v>
      </c>
      <c r="C1" s="4">
        <v>29.406245790980623</v>
      </c>
      <c r="D1" s="4" t="s">
        <v>14</v>
      </c>
      <c r="F1">
        <v>0.27585466085056881</v>
      </c>
      <c r="G1">
        <v>16.186122587302258</v>
      </c>
      <c r="H1">
        <v>100</v>
      </c>
      <c r="J1">
        <v>8.1502795969492121E-3</v>
      </c>
    </row>
    <row r="2" spans="1:10" x14ac:dyDescent="0.25">
      <c r="B2" t="s">
        <v>22</v>
      </c>
      <c r="C2" s="4">
        <v>2.0217110111321754</v>
      </c>
      <c r="D2">
        <v>3.90625E-3</v>
      </c>
      <c r="F2">
        <f>$D$2/F1</f>
        <v>1.4160536522948314E-2</v>
      </c>
      <c r="G2">
        <f>$D$2/G1</f>
        <v>2.4133327663441694E-4</v>
      </c>
    </row>
    <row r="3" spans="1:10" s="2" customFormat="1" x14ac:dyDescent="0.25">
      <c r="A3" s="2" t="s">
        <v>15</v>
      </c>
      <c r="B3" s="2" t="s">
        <v>16</v>
      </c>
      <c r="C3" s="5" t="s">
        <v>21</v>
      </c>
      <c r="D3" s="5" t="s">
        <v>22</v>
      </c>
      <c r="E3" s="5" t="s">
        <v>18</v>
      </c>
      <c r="F3" s="2" t="s">
        <v>6</v>
      </c>
      <c r="G3" s="2" t="s">
        <v>9</v>
      </c>
      <c r="H3" s="2" t="s">
        <v>12</v>
      </c>
      <c r="I3" s="2" t="s">
        <v>13</v>
      </c>
    </row>
    <row r="4" spans="1:10" x14ac:dyDescent="0.25">
      <c r="A4">
        <v>14</v>
      </c>
      <c r="B4">
        <v>58</v>
      </c>
      <c r="C4" s="4">
        <f>C1</f>
        <v>29.406245790980623</v>
      </c>
      <c r="D4" s="4">
        <f>C2</f>
        <v>2.0217110111321754</v>
      </c>
      <c r="E4" s="4">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25">
      <c r="A5">
        <v>86</v>
      </c>
      <c r="B5">
        <v>202</v>
      </c>
      <c r="C5" s="4">
        <f>I4</f>
        <v>29.414453239455124</v>
      </c>
      <c r="D5" s="4">
        <f>H4</f>
        <v>2.0236692862313777</v>
      </c>
      <c r="E5" s="4">
        <f>C5+D5*A5</f>
        <v>203.45001185535361</v>
      </c>
      <c r="F5" s="3">
        <f t="shared" si="0"/>
        <v>2.9000237107072167</v>
      </c>
      <c r="G5" s="3">
        <f t="shared" si="1"/>
        <v>249.40203912082063</v>
      </c>
      <c r="H5" s="3">
        <f t="shared" si="2"/>
        <v>1.9634802749310449</v>
      </c>
      <c r="I5" s="3">
        <f t="shared" si="3"/>
        <v>29.373387347782238</v>
      </c>
    </row>
    <row r="6" spans="1:10" x14ac:dyDescent="0.25">
      <c r="A6">
        <v>28</v>
      </c>
      <c r="B6">
        <v>86</v>
      </c>
      <c r="C6" s="4">
        <f>I5</f>
        <v>29.373387347782238</v>
      </c>
      <c r="D6" s="4">
        <f>H5</f>
        <v>1.9634802749310449</v>
      </c>
      <c r="E6" s="4">
        <f>C6+D6*A6</f>
        <v>84.350835045851497</v>
      </c>
      <c r="F6" s="3">
        <f t="shared" si="0"/>
        <v>-3.2983299082970063</v>
      </c>
      <c r="G6" s="3">
        <f t="shared" si="1"/>
        <v>-92.353237432316178</v>
      </c>
      <c r="H6" s="3">
        <f t="shared" si="2"/>
        <v>1.9857681843283821</v>
      </c>
      <c r="I6" s="3">
        <f t="shared" si="3"/>
        <v>29.420093468913411</v>
      </c>
    </row>
    <row r="7" spans="1:10" x14ac:dyDescent="0.25">
      <c r="A7">
        <v>51</v>
      </c>
      <c r="B7">
        <v>132</v>
      </c>
      <c r="C7" s="4">
        <f t="shared" ref="C7:C32" si="4">I6</f>
        <v>29.420093468913411</v>
      </c>
      <c r="D7" s="4">
        <f t="shared" ref="D7:D32" si="5">H6</f>
        <v>1.9857681843283821</v>
      </c>
      <c r="E7" s="4">
        <f t="shared" ref="E7:E32" si="6">C7+D7*A7</f>
        <v>130.6942708696609</v>
      </c>
      <c r="F7" s="3">
        <f t="shared" si="0"/>
        <v>-2.6114582606782051</v>
      </c>
      <c r="G7" s="3">
        <f t="shared" si="1"/>
        <v>-133.18437129458846</v>
      </c>
      <c r="H7" s="3">
        <f t="shared" si="2"/>
        <v>2.0179100050494001</v>
      </c>
      <c r="I7" s="3">
        <f t="shared" si="3"/>
        <v>29.4570731189919</v>
      </c>
    </row>
    <row r="8" spans="1:10" x14ac:dyDescent="0.25">
      <c r="A8">
        <v>28</v>
      </c>
      <c r="B8">
        <v>86</v>
      </c>
      <c r="C8" s="4">
        <f t="shared" si="4"/>
        <v>29.4570731189919</v>
      </c>
      <c r="D8" s="4">
        <f t="shared" si="5"/>
        <v>2.0179100050494001</v>
      </c>
      <c r="E8" s="4">
        <f t="shared" si="6"/>
        <v>85.958553260375112</v>
      </c>
      <c r="F8" s="3">
        <f t="shared" si="0"/>
        <v>-8.2893479249776192E-2</v>
      </c>
      <c r="G8" s="3">
        <f t="shared" si="1"/>
        <v>-2.3210174189937334</v>
      </c>
      <c r="H8" s="3">
        <f t="shared" si="2"/>
        <v>2.0184701437882513</v>
      </c>
      <c r="I8" s="3">
        <f t="shared" si="3"/>
        <v>29.45824693513233</v>
      </c>
    </row>
    <row r="9" spans="1:10" x14ac:dyDescent="0.25">
      <c r="A9">
        <v>29</v>
      </c>
      <c r="B9">
        <v>88</v>
      </c>
      <c r="C9" s="4">
        <f t="shared" si="4"/>
        <v>29.45824693513233</v>
      </c>
      <c r="D9" s="4">
        <f t="shared" si="5"/>
        <v>2.0184701437882513</v>
      </c>
      <c r="E9" s="4">
        <f t="shared" si="6"/>
        <v>87.993881104991615</v>
      </c>
      <c r="F9" s="3">
        <f t="shared" si="0"/>
        <v>-1.2237790016769168E-2</v>
      </c>
      <c r="G9" s="3">
        <f t="shared" si="1"/>
        <v>-0.35489591048630587</v>
      </c>
      <c r="H9" s="3">
        <f t="shared" si="2"/>
        <v>2.0185557919811932</v>
      </c>
      <c r="I9" s="3">
        <f t="shared" si="3"/>
        <v>29.458420228804822</v>
      </c>
    </row>
    <row r="10" spans="1:10" x14ac:dyDescent="0.25">
      <c r="A10">
        <v>72</v>
      </c>
      <c r="B10">
        <v>174</v>
      </c>
      <c r="C10" s="4">
        <f t="shared" si="4"/>
        <v>29.458420228804822</v>
      </c>
      <c r="D10" s="4">
        <f t="shared" si="5"/>
        <v>2.0185557919811932</v>
      </c>
      <c r="E10" s="4">
        <f t="shared" si="6"/>
        <v>174.79443725145072</v>
      </c>
      <c r="F10" s="3">
        <f t="shared" si="0"/>
        <v>1.5888745029014331</v>
      </c>
      <c r="G10" s="3">
        <f t="shared" si="1"/>
        <v>114.39896420890318</v>
      </c>
      <c r="H10" s="3">
        <f t="shared" si="2"/>
        <v>1.9909475151050753</v>
      </c>
      <c r="I10" s="3">
        <f t="shared" si="3"/>
        <v>29.435920913376105</v>
      </c>
    </row>
    <row r="11" spans="1:10" x14ac:dyDescent="0.25">
      <c r="A11">
        <v>62</v>
      </c>
      <c r="B11">
        <v>154</v>
      </c>
      <c r="C11" s="4">
        <f t="shared" si="4"/>
        <v>29.435920913376105</v>
      </c>
      <c r="D11" s="4">
        <f t="shared" si="5"/>
        <v>1.9909475151050753</v>
      </c>
      <c r="E11" s="4">
        <f t="shared" si="6"/>
        <v>152.87466684989076</v>
      </c>
      <c r="F11" s="3">
        <f t="shared" si="0"/>
        <v>-2.2506663002184837</v>
      </c>
      <c r="G11" s="3">
        <f t="shared" si="1"/>
        <v>-139.54131061354599</v>
      </c>
      <c r="H11" s="3">
        <f t="shared" si="2"/>
        <v>2.0246234768213034</v>
      </c>
      <c r="I11" s="3">
        <f t="shared" si="3"/>
        <v>29.467791555721316</v>
      </c>
    </row>
    <row r="12" spans="1:10" x14ac:dyDescent="0.25">
      <c r="A12">
        <v>84</v>
      </c>
      <c r="B12">
        <v>198</v>
      </c>
      <c r="C12" s="4">
        <f t="shared" si="4"/>
        <v>29.467791555721316</v>
      </c>
      <c r="D12" s="4">
        <f t="shared" si="5"/>
        <v>2.0246234768213034</v>
      </c>
      <c r="E12" s="4">
        <f t="shared" si="6"/>
        <v>199.53616360871078</v>
      </c>
      <c r="F12" s="3">
        <f t="shared" si="0"/>
        <v>3.0723272174215595</v>
      </c>
      <c r="G12" s="3">
        <f t="shared" si="1"/>
        <v>258.07548626341099</v>
      </c>
      <c r="H12" s="3">
        <f t="shared" si="2"/>
        <v>1.9623412741023341</v>
      </c>
      <c r="I12" s="3">
        <f t="shared" si="3"/>
        <v>29.42428575394857</v>
      </c>
    </row>
    <row r="13" spans="1:10" x14ac:dyDescent="0.25">
      <c r="A13">
        <v>15</v>
      </c>
      <c r="B13">
        <v>60</v>
      </c>
      <c r="C13" s="4">
        <f t="shared" si="4"/>
        <v>29.42428575394857</v>
      </c>
      <c r="D13" s="4">
        <f t="shared" si="5"/>
        <v>1.9623412741023341</v>
      </c>
      <c r="E13" s="4">
        <f t="shared" si="6"/>
        <v>58.859404865483583</v>
      </c>
      <c r="F13" s="3">
        <f t="shared" si="0"/>
        <v>-2.2811902690328338</v>
      </c>
      <c r="G13" s="3">
        <f t="shared" si="1"/>
        <v>-34.217854035492508</v>
      </c>
      <c r="H13" s="3">
        <f t="shared" si="2"/>
        <v>1.9705991809361176</v>
      </c>
      <c r="I13" s="3">
        <f t="shared" si="3"/>
        <v>29.456588632069003</v>
      </c>
    </row>
    <row r="14" spans="1:10" x14ac:dyDescent="0.25">
      <c r="A14">
        <v>42</v>
      </c>
      <c r="B14">
        <v>114</v>
      </c>
      <c r="C14" s="4">
        <f t="shared" si="4"/>
        <v>29.456588632069003</v>
      </c>
      <c r="D14" s="4">
        <f t="shared" si="5"/>
        <v>1.9705991809361176</v>
      </c>
      <c r="E14" s="4">
        <f t="shared" si="6"/>
        <v>112.22175423138594</v>
      </c>
      <c r="F14" s="3">
        <f t="shared" si="0"/>
        <v>-3.5564915372281121</v>
      </c>
      <c r="G14" s="3">
        <f t="shared" si="1"/>
        <v>-149.37264456358071</v>
      </c>
      <c r="H14" s="3">
        <f t="shared" si="2"/>
        <v>2.0066477706881947</v>
      </c>
      <c r="I14" s="3">
        <f t="shared" si="3"/>
        <v>29.506950460375478</v>
      </c>
    </row>
    <row r="15" spans="1:10" x14ac:dyDescent="0.25">
      <c r="A15">
        <v>62</v>
      </c>
      <c r="B15">
        <v>154</v>
      </c>
      <c r="C15" s="4">
        <f>I14</f>
        <v>29.506950460375478</v>
      </c>
      <c r="D15" s="4">
        <f>H14</f>
        <v>2.0066477706881947</v>
      </c>
      <c r="E15" s="4">
        <f t="shared" si="6"/>
        <v>153.91911224304354</v>
      </c>
      <c r="F15" s="3">
        <f t="shared" si="0"/>
        <v>-0.16177551391291445</v>
      </c>
      <c r="G15" s="3">
        <f t="shared" si="1"/>
        <v>-10.030081862600696</v>
      </c>
      <c r="H15" s="3">
        <f t="shared" si="2"/>
        <v>2.0090683632090074</v>
      </c>
      <c r="I15" s="3">
        <f t="shared" si="3"/>
        <v>29.509241288448759</v>
      </c>
    </row>
    <row r="16" spans="1:10" x14ac:dyDescent="0.25">
      <c r="A16">
        <v>47</v>
      </c>
      <c r="B16">
        <v>124</v>
      </c>
      <c r="C16" s="4">
        <f t="shared" si="4"/>
        <v>29.509241288448759</v>
      </c>
      <c r="D16" s="4">
        <f t="shared" si="5"/>
        <v>2.0090683632090074</v>
      </c>
      <c r="E16" s="4">
        <f t="shared" si="6"/>
        <v>123.93545435927211</v>
      </c>
      <c r="F16" s="3">
        <f t="shared" si="0"/>
        <v>-0.12909128145577142</v>
      </c>
      <c r="G16" s="3">
        <f t="shared" si="1"/>
        <v>-6.0672902284212569</v>
      </c>
      <c r="H16" s="3">
        <f t="shared" si="2"/>
        <v>2.0105326022401244</v>
      </c>
      <c r="I16" s="3">
        <f t="shared" si="3"/>
        <v>29.511069290254607</v>
      </c>
    </row>
    <row r="17" spans="1:9" x14ac:dyDescent="0.25">
      <c r="A17">
        <v>35</v>
      </c>
      <c r="B17">
        <v>100</v>
      </c>
      <c r="C17" s="4">
        <f t="shared" si="4"/>
        <v>29.511069290254607</v>
      </c>
      <c r="D17" s="4">
        <f t="shared" si="5"/>
        <v>2.0105326022401244</v>
      </c>
      <c r="E17" s="4">
        <f t="shared" si="6"/>
        <v>99.879710368658962</v>
      </c>
      <c r="F17" s="3">
        <f t="shared" si="0"/>
        <v>-0.24057926268207552</v>
      </c>
      <c r="G17" s="3">
        <f t="shared" si="1"/>
        <v>-8.4202741938726433</v>
      </c>
      <c r="H17" s="3">
        <f t="shared" si="2"/>
        <v>2.0125646946014921</v>
      </c>
      <c r="I17" s="3">
        <f t="shared" si="3"/>
        <v>29.514476021690481</v>
      </c>
    </row>
    <row r="18" spans="1:9" x14ac:dyDescent="0.25">
      <c r="A18">
        <v>9</v>
      </c>
      <c r="B18">
        <v>48</v>
      </c>
      <c r="C18" s="4">
        <f t="shared" si="4"/>
        <v>29.514476021690481</v>
      </c>
      <c r="D18" s="4">
        <f t="shared" si="5"/>
        <v>2.0125646946014921</v>
      </c>
      <c r="E18" s="4">
        <f t="shared" si="6"/>
        <v>47.627558273103915</v>
      </c>
      <c r="F18" s="3">
        <f t="shared" si="0"/>
        <v>-0.7448834537921698</v>
      </c>
      <c r="G18" s="3">
        <f t="shared" si="1"/>
        <v>-6.7039510841295282</v>
      </c>
      <c r="H18" s="3">
        <f t="shared" si="2"/>
        <v>2.0141825810830221</v>
      </c>
      <c r="I18" s="3">
        <f t="shared" si="3"/>
        <v>29.525023971043243</v>
      </c>
    </row>
    <row r="19" spans="1:9" x14ac:dyDescent="0.25">
      <c r="A19">
        <v>38</v>
      </c>
      <c r="B19">
        <v>106</v>
      </c>
      <c r="C19" s="4">
        <f t="shared" si="4"/>
        <v>29.525023971043243</v>
      </c>
      <c r="D19" s="4">
        <f t="shared" si="5"/>
        <v>2.0141825810830221</v>
      </c>
      <c r="E19" s="4">
        <f t="shared" si="6"/>
        <v>106.06396205219808</v>
      </c>
      <c r="F19" s="3">
        <f t="shared" si="0"/>
        <v>0.12792410439615765</v>
      </c>
      <c r="G19" s="3">
        <f t="shared" si="1"/>
        <v>4.8611159670539905</v>
      </c>
      <c r="H19" s="3">
        <f t="shared" si="2"/>
        <v>2.0130094320385932</v>
      </c>
      <c r="I19" s="3">
        <f t="shared" si="3"/>
        <v>29.523212497090775</v>
      </c>
    </row>
    <row r="20" spans="1:9" x14ac:dyDescent="0.25">
      <c r="A20">
        <v>44</v>
      </c>
      <c r="B20">
        <v>118</v>
      </c>
      <c r="C20" s="4">
        <f t="shared" si="4"/>
        <v>29.523212497090775</v>
      </c>
      <c r="D20" s="4">
        <f t="shared" si="5"/>
        <v>2.0130094320385932</v>
      </c>
      <c r="E20" s="4">
        <f t="shared" si="6"/>
        <v>118.09562750678887</v>
      </c>
      <c r="F20" s="3">
        <f t="shared" si="0"/>
        <v>0.1912550135777451</v>
      </c>
      <c r="G20" s="3">
        <f t="shared" si="1"/>
        <v>8.4152205974207845</v>
      </c>
      <c r="H20" s="3">
        <f t="shared" si="2"/>
        <v>2.0109785592782163</v>
      </c>
      <c r="I20" s="3">
        <f t="shared" si="3"/>
        <v>29.520504223485808</v>
      </c>
    </row>
    <row r="21" spans="1:9" x14ac:dyDescent="0.25">
      <c r="A21">
        <v>99</v>
      </c>
      <c r="B21">
        <v>228</v>
      </c>
      <c r="C21" s="4">
        <f t="shared" si="4"/>
        <v>29.520504223485808</v>
      </c>
      <c r="D21" s="4">
        <f t="shared" si="5"/>
        <v>2.0109785592782163</v>
      </c>
      <c r="E21" s="4">
        <f t="shared" si="6"/>
        <v>228.60738159202921</v>
      </c>
      <c r="F21" s="3">
        <f t="shared" si="0"/>
        <v>1.2147631840584268</v>
      </c>
      <c r="G21" s="3">
        <f t="shared" si="1"/>
        <v>120.26155522178425</v>
      </c>
      <c r="H21" s="3">
        <f t="shared" si="2"/>
        <v>1.9819554441033922</v>
      </c>
      <c r="I21" s="3">
        <f t="shared" si="3"/>
        <v>29.503302525051215</v>
      </c>
    </row>
    <row r="22" spans="1:9" x14ac:dyDescent="0.25">
      <c r="A22">
        <v>13</v>
      </c>
      <c r="B22">
        <v>56</v>
      </c>
      <c r="C22" s="4">
        <f t="shared" si="4"/>
        <v>29.503302525051215</v>
      </c>
      <c r="D22" s="4">
        <f t="shared" si="5"/>
        <v>1.9819554441033922</v>
      </c>
      <c r="E22" s="4">
        <f t="shared" si="6"/>
        <v>55.268723298395315</v>
      </c>
      <c r="F22" s="3">
        <f t="shared" si="0"/>
        <v>-1.4625534032093697</v>
      </c>
      <c r="G22" s="3">
        <f t="shared" si="1"/>
        <v>-19.013194241721806</v>
      </c>
      <c r="H22" s="3">
        <f t="shared" si="2"/>
        <v>1.9865439605690336</v>
      </c>
      <c r="I22" s="3">
        <f t="shared" si="3"/>
        <v>29.524013065934124</v>
      </c>
    </row>
    <row r="23" spans="1:9" x14ac:dyDescent="0.25">
      <c r="A23">
        <v>21</v>
      </c>
      <c r="B23">
        <v>72</v>
      </c>
      <c r="C23" s="4">
        <f t="shared" si="4"/>
        <v>29.524013065934124</v>
      </c>
      <c r="D23" s="4">
        <f t="shared" si="5"/>
        <v>1.9865439605690336</v>
      </c>
      <c r="E23" s="4">
        <f t="shared" si="6"/>
        <v>71.241436237883832</v>
      </c>
      <c r="F23" s="3">
        <f t="shared" si="0"/>
        <v>-1.5171275242323361</v>
      </c>
      <c r="G23" s="3">
        <f t="shared" si="1"/>
        <v>-31.859678008879058</v>
      </c>
      <c r="H23" s="3">
        <f t="shared" si="2"/>
        <v>1.9942327610554338</v>
      </c>
      <c r="I23" s="3">
        <f t="shared" si="3"/>
        <v>29.545496405650987</v>
      </c>
    </row>
    <row r="24" spans="1:9" x14ac:dyDescent="0.25">
      <c r="A24">
        <v>28</v>
      </c>
      <c r="B24">
        <v>86</v>
      </c>
      <c r="C24" s="4">
        <f t="shared" si="4"/>
        <v>29.545496405650987</v>
      </c>
      <c r="D24" s="4">
        <f t="shared" si="5"/>
        <v>1.9942327610554338</v>
      </c>
      <c r="E24" s="4">
        <f t="shared" si="6"/>
        <v>85.384013715203139</v>
      </c>
      <c r="F24" s="3">
        <f t="shared" si="0"/>
        <v>-1.2319725695937223</v>
      </c>
      <c r="G24" s="3">
        <f t="shared" si="1"/>
        <v>-34.495231948624223</v>
      </c>
      <c r="H24" s="3">
        <f t="shared" si="2"/>
        <v>2.0025576084098593</v>
      </c>
      <c r="I24" s="3">
        <f t="shared" si="3"/>
        <v>29.562941798217988</v>
      </c>
    </row>
    <row r="25" spans="1:9" x14ac:dyDescent="0.25">
      <c r="A25">
        <v>20</v>
      </c>
      <c r="B25">
        <v>70</v>
      </c>
      <c r="C25" s="4">
        <f t="shared" si="4"/>
        <v>29.562941798217988</v>
      </c>
      <c r="D25" s="4">
        <f t="shared" si="5"/>
        <v>2.0025576084098593</v>
      </c>
      <c r="E25" s="4">
        <f t="shared" si="6"/>
        <v>69.614093966415169</v>
      </c>
      <c r="F25" s="3">
        <f t="shared" si="0"/>
        <v>-0.77181206716966244</v>
      </c>
      <c r="G25" s="3">
        <f t="shared" si="1"/>
        <v>-15.436241343393249</v>
      </c>
      <c r="H25" s="3">
        <f t="shared" si="2"/>
        <v>2.0062828871121798</v>
      </c>
      <c r="I25" s="3">
        <f t="shared" si="3"/>
        <v>29.573871071183998</v>
      </c>
    </row>
    <row r="26" spans="1:9" x14ac:dyDescent="0.25">
      <c r="A26">
        <v>8</v>
      </c>
      <c r="B26">
        <v>46</v>
      </c>
      <c r="C26" s="4">
        <f t="shared" si="4"/>
        <v>29.573871071183998</v>
      </c>
      <c r="D26" s="4">
        <f t="shared" si="5"/>
        <v>2.0062828871121798</v>
      </c>
      <c r="E26" s="4">
        <f t="shared" si="6"/>
        <v>45.62413416808144</v>
      </c>
      <c r="F26" s="3">
        <f t="shared" si="0"/>
        <v>-0.75173166383711987</v>
      </c>
      <c r="G26" s="3">
        <f t="shared" si="1"/>
        <v>-6.0138533106969589</v>
      </c>
      <c r="H26" s="3">
        <f t="shared" si="2"/>
        <v>2.0077342300368493</v>
      </c>
      <c r="I26" s="3">
        <f t="shared" si="3"/>
        <v>29.584515994865221</v>
      </c>
    </row>
    <row r="27" spans="1:9" x14ac:dyDescent="0.25">
      <c r="A27">
        <v>64</v>
      </c>
      <c r="B27">
        <v>158</v>
      </c>
      <c r="C27" s="4">
        <f t="shared" si="4"/>
        <v>29.584515994865221</v>
      </c>
      <c r="D27" s="4">
        <f t="shared" si="5"/>
        <v>2.0077342300368493</v>
      </c>
      <c r="E27" s="4">
        <f t="shared" si="6"/>
        <v>158.07950671722358</v>
      </c>
      <c r="F27" s="3">
        <f t="shared" si="0"/>
        <v>0.15901343444716076</v>
      </c>
      <c r="G27" s="3">
        <f t="shared" si="1"/>
        <v>10.176859804618289</v>
      </c>
      <c r="H27" s="3">
        <f t="shared" si="2"/>
        <v>2.0052782151143518</v>
      </c>
      <c r="I27" s="3">
        <f t="shared" si="3"/>
        <v>29.582264279319091</v>
      </c>
    </row>
    <row r="28" spans="1:9" x14ac:dyDescent="0.25">
      <c r="A28">
        <v>99</v>
      </c>
      <c r="B28">
        <v>228</v>
      </c>
      <c r="C28" s="4">
        <f t="shared" si="4"/>
        <v>29.582264279319091</v>
      </c>
      <c r="D28" s="4">
        <f t="shared" si="5"/>
        <v>2.0052782151143518</v>
      </c>
      <c r="E28" s="4">
        <f t="shared" si="6"/>
        <v>228.10480757563994</v>
      </c>
      <c r="F28" s="3">
        <f t="shared" si="0"/>
        <v>0.20961515127987695</v>
      </c>
      <c r="G28" s="3">
        <f t="shared" si="1"/>
        <v>20.751899976707818</v>
      </c>
      <c r="H28" s="3">
        <f t="shared" si="2"/>
        <v>2.0002700910965832</v>
      </c>
      <c r="I28" s="3">
        <f t="shared" si="3"/>
        <v>29.579296016313627</v>
      </c>
    </row>
    <row r="29" spans="1:9" x14ac:dyDescent="0.25">
      <c r="A29">
        <v>70</v>
      </c>
      <c r="B29">
        <v>170</v>
      </c>
      <c r="C29" s="4">
        <f t="shared" si="4"/>
        <v>29.579296016313627</v>
      </c>
      <c r="D29" s="4">
        <f t="shared" si="5"/>
        <v>2.0002700910965832</v>
      </c>
      <c r="E29" s="4">
        <f t="shared" si="6"/>
        <v>169.59820239307444</v>
      </c>
      <c r="F29" s="3">
        <f t="shared" si="0"/>
        <v>-0.80359521385111066</v>
      </c>
      <c r="G29" s="3">
        <f t="shared" si="1"/>
        <v>-56.251664969577746</v>
      </c>
      <c r="H29" s="3">
        <f t="shared" si="2"/>
        <v>2.013845489719833</v>
      </c>
      <c r="I29" s="3">
        <f t="shared" si="3"/>
        <v>29.590675355689033</v>
      </c>
    </row>
    <row r="30" spans="1:9" x14ac:dyDescent="0.25">
      <c r="A30">
        <v>27</v>
      </c>
      <c r="B30">
        <v>84</v>
      </c>
      <c r="C30" s="4">
        <f t="shared" si="4"/>
        <v>29.590675355689033</v>
      </c>
      <c r="D30" s="4">
        <f t="shared" si="5"/>
        <v>2.013845489719833</v>
      </c>
      <c r="E30" s="4">
        <f t="shared" si="6"/>
        <v>83.964503578124521</v>
      </c>
      <c r="F30" s="3">
        <f t="shared" si="0"/>
        <v>-7.0992843750957491E-2</v>
      </c>
      <c r="G30" s="3">
        <f t="shared" si="1"/>
        <v>-1.9168067812758522</v>
      </c>
      <c r="H30" s="3">
        <f t="shared" si="2"/>
        <v>2.0143080789810335</v>
      </c>
      <c r="I30" s="3">
        <f t="shared" si="3"/>
        <v>29.591680652445838</v>
      </c>
    </row>
    <row r="31" spans="1:9" x14ac:dyDescent="0.25">
      <c r="A31">
        <v>17</v>
      </c>
      <c r="B31">
        <v>64</v>
      </c>
      <c r="C31" s="4">
        <f t="shared" si="4"/>
        <v>29.591680652445838</v>
      </c>
      <c r="D31" s="4">
        <f t="shared" si="5"/>
        <v>2.0143080789810335</v>
      </c>
      <c r="E31" s="4">
        <f t="shared" si="6"/>
        <v>63.834917995123405</v>
      </c>
      <c r="F31" s="3">
        <f t="shared" si="0"/>
        <v>-0.33016400975319016</v>
      </c>
      <c r="G31" s="3">
        <f t="shared" si="1"/>
        <v>-5.6127881658042327</v>
      </c>
      <c r="H31" s="3">
        <f t="shared" si="2"/>
        <v>2.0156626315401418</v>
      </c>
      <c r="I31" s="3">
        <f t="shared" si="3"/>
        <v>29.596355951964512</v>
      </c>
    </row>
    <row r="32" spans="1:9" x14ac:dyDescent="0.25">
      <c r="A32">
        <v>8</v>
      </c>
      <c r="B32">
        <v>46</v>
      </c>
      <c r="C32" s="4">
        <f t="shared" si="4"/>
        <v>29.596355951964512</v>
      </c>
      <c r="D32" s="4">
        <f t="shared" si="5"/>
        <v>2.0156626315401418</v>
      </c>
      <c r="E32" s="4">
        <f t="shared" si="6"/>
        <v>45.721657004285646</v>
      </c>
      <c r="F32" s="3">
        <f t="shared" si="0"/>
        <v>-0.55668599142870789</v>
      </c>
      <c r="G32" s="3">
        <f t="shared" si="1"/>
        <v>-4.4534879314296631</v>
      </c>
      <c r="H32" s="3">
        <f t="shared" si="2"/>
        <v>2.0167374063750856</v>
      </c>
      <c r="I32" s="3">
        <f t="shared" si="3"/>
        <v>29.604238924277951</v>
      </c>
    </row>
    <row r="33" spans="6:8" x14ac:dyDescent="0.25">
      <c r="F33" s="3">
        <f>SQRT(SUMSQ(F4:F32))/COUNT(F4:F32)</f>
        <v>0.29214010037172083</v>
      </c>
      <c r="G33" s="3">
        <f>SQRT(SUMSQ(G4:G32))/COUNT(G4:G32)</f>
        <v>16.630193282037062</v>
      </c>
      <c r="H33" s="3">
        <f>SUMPRODUCT(histgrad,F2:G2)</f>
        <v>8.1502795969492121E-3</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J5" sqref="J5"/>
    </sheetView>
  </sheetViews>
  <sheetFormatPr defaultRowHeight="15" x14ac:dyDescent="0.25"/>
  <cols>
    <col min="3" max="3" width="8.85546875" style="4" customWidth="1"/>
    <col min="4" max="4" width="10.85546875" style="4" bestFit="1" customWidth="1"/>
    <col min="5" max="5" width="9.140625" style="4" bestFit="1" customWidth="1"/>
    <col min="6" max="6" width="10.85546875" style="6" bestFit="1" customWidth="1"/>
    <col min="7" max="7" width="10.140625" style="6" bestFit="1" customWidth="1"/>
    <col min="8" max="8" width="8.28515625" bestFit="1" customWidth="1"/>
    <col min="9" max="9" width="5.85546875" bestFit="1" customWidth="1"/>
    <col min="10" max="11" width="6.5703125" customWidth="1"/>
    <col min="12" max="12" width="8.42578125" customWidth="1"/>
    <col min="13" max="13" width="13.140625" customWidth="1"/>
    <col min="14" max="14" width="8.28515625" customWidth="1"/>
  </cols>
  <sheetData>
    <row r="1" spans="1:15" x14ac:dyDescent="0.25">
      <c r="B1" t="s">
        <v>21</v>
      </c>
      <c r="C1" s="4">
        <v>29.990939773126538</v>
      </c>
      <c r="D1" s="4" t="s">
        <v>14</v>
      </c>
      <c r="I1" t="s">
        <v>24</v>
      </c>
      <c r="J1">
        <v>0.9</v>
      </c>
      <c r="K1">
        <f>1-J1</f>
        <v>9.9999999999999978E-2</v>
      </c>
      <c r="L1">
        <v>0.95</v>
      </c>
      <c r="M1">
        <f>1-L1</f>
        <v>5.0000000000000044E-2</v>
      </c>
    </row>
    <row r="2" spans="1:15" x14ac:dyDescent="0.25">
      <c r="B2" t="s">
        <v>22</v>
      </c>
      <c r="C2" s="4">
        <v>2.0041632844175137</v>
      </c>
      <c r="D2">
        <v>3.90625E-3</v>
      </c>
      <c r="F2" s="8"/>
      <c r="G2" s="8"/>
    </row>
    <row r="3" spans="1:15" s="2" customFormat="1" x14ac:dyDescent="0.25">
      <c r="A3" s="2" t="s">
        <v>15</v>
      </c>
      <c r="B3" s="2" t="s">
        <v>16</v>
      </c>
      <c r="C3" s="5" t="s">
        <v>21</v>
      </c>
      <c r="D3" s="5" t="s">
        <v>22</v>
      </c>
      <c r="E3" s="5" t="s">
        <v>18</v>
      </c>
      <c r="F3" s="7" t="s">
        <v>6</v>
      </c>
      <c r="G3" s="7" t="s">
        <v>9</v>
      </c>
      <c r="H3" s="2" t="s">
        <v>13</v>
      </c>
      <c r="I3" s="2" t="s">
        <v>12</v>
      </c>
      <c r="J3">
        <f>J33</f>
        <v>-4.8441943141925917E-2</v>
      </c>
      <c r="K3">
        <f>K33</f>
        <v>-4.0642025509844446</v>
      </c>
      <c r="L3">
        <f>L33</f>
        <v>2.527589588662521E-2</v>
      </c>
      <c r="M3">
        <f>M33</f>
        <v>161.89615404770484</v>
      </c>
      <c r="N3">
        <v>10.326280808548518</v>
      </c>
      <c r="O3"/>
    </row>
    <row r="4" spans="1:15" x14ac:dyDescent="0.25">
      <c r="A4">
        <v>14</v>
      </c>
      <c r="B4">
        <v>58</v>
      </c>
      <c r="C4" s="3">
        <f>C1</f>
        <v>29.990939773126538</v>
      </c>
      <c r="D4" s="3">
        <f>C2</f>
        <v>2.0041632844175137</v>
      </c>
      <c r="E4" s="3">
        <f>C4+D4*A4</f>
        <v>58.049225754971729</v>
      </c>
      <c r="F4" s="6">
        <f t="shared" ref="F4:F32" si="0">2*(D4*A4+C4-B4)</f>
        <v>9.8451509943458859E-2</v>
      </c>
      <c r="G4" s="6">
        <f t="shared" ref="G4:G32" si="1">F4*A4</f>
        <v>1.378321139208424</v>
      </c>
      <c r="H4" s="3">
        <f>C4-J4*$D$2/SQRT(L4)</f>
        <v>29.991782162981227</v>
      </c>
      <c r="I4" s="3">
        <f>D4-K4*$D$2/SQRT(M4)</f>
        <v>2.0052716484223598</v>
      </c>
      <c r="J4">
        <f>J3*$J$1+$K$1*F4</f>
        <v>-3.3752597833387438E-2</v>
      </c>
      <c r="K4">
        <f>K3*$J$1+$K$1*G4</f>
        <v>-3.5199501819651577</v>
      </c>
      <c r="L4">
        <f t="shared" ref="L4:M19" si="2">L3*$L$1+$M$1*F4^2</f>
        <v>2.4496736082801299E-2</v>
      </c>
      <c r="M4">
        <f t="shared" si="2"/>
        <v>153.89633480345904</v>
      </c>
    </row>
    <row r="5" spans="1:15" x14ac:dyDescent="0.25">
      <c r="A5">
        <v>86</v>
      </c>
      <c r="B5">
        <v>202</v>
      </c>
      <c r="C5" s="3">
        <f>H4</f>
        <v>29.991782162981227</v>
      </c>
      <c r="D5" s="3">
        <f>I4</f>
        <v>2.0052716484223598</v>
      </c>
      <c r="E5" s="3">
        <f>C5+D5*A5</f>
        <v>202.44514392730417</v>
      </c>
      <c r="F5" s="6">
        <f t="shared" si="0"/>
        <v>0.8902878546083457</v>
      </c>
      <c r="G5" s="6">
        <f t="shared" si="1"/>
        <v>76.56475549631773</v>
      </c>
      <c r="H5" s="3">
        <f>C5-J5*$D$2/SQRT(L5)</f>
        <v>29.992255287786474</v>
      </c>
      <c r="I5" s="3">
        <f t="shared" ref="H5:I32" si="3">D5-K5*$D$2/SQRT(M5)</f>
        <v>2.0044351254225292</v>
      </c>
      <c r="J5">
        <f>J4*$J$1+$K$1*Intro!F5</f>
        <v>-3.0377338050048695E-2</v>
      </c>
      <c r="K5">
        <f t="shared" ref="J5:K20" si="4">K4*$J$1+$K$1*G5</f>
        <v>4.4885203858631293</v>
      </c>
      <c r="L5">
        <f t="shared" si="2"/>
        <v>6.290252248181781E-2</v>
      </c>
      <c r="M5">
        <f t="shared" si="2"/>
        <v>439.30960727383217</v>
      </c>
    </row>
    <row r="6" spans="1:15" x14ac:dyDescent="0.25">
      <c r="A6">
        <v>28</v>
      </c>
      <c r="B6">
        <v>86</v>
      </c>
      <c r="C6" s="3">
        <f>H5</f>
        <v>29.992255287786474</v>
      </c>
      <c r="D6" s="3">
        <f>I5</f>
        <v>2.0044351254225292</v>
      </c>
      <c r="E6" s="3">
        <f>C6+D6*A6</f>
        <v>86.116438799617299</v>
      </c>
      <c r="F6" s="6">
        <f>2*(D6*A6+C6-B6)</f>
        <v>0.23287759923459816</v>
      </c>
      <c r="G6" s="6">
        <f>F6*A6</f>
        <v>6.5205727785687486</v>
      </c>
      <c r="H6" s="3">
        <f>C6-J6*$D$2/SQRT(L6)</f>
        <v>29.992318613563189</v>
      </c>
      <c r="I6" s="3">
        <f t="shared" si="3"/>
        <v>2.0035402920398968</v>
      </c>
      <c r="J6">
        <f t="shared" si="4"/>
        <v>-4.0518443215840153E-3</v>
      </c>
      <c r="K6">
        <f t="shared" si="4"/>
        <v>4.6917256251336914</v>
      </c>
      <c r="L6">
        <f t="shared" si="2"/>
        <v>6.2468995168990425E-2</v>
      </c>
      <c r="M6">
        <f t="shared" si="2"/>
        <v>419.47002037817111</v>
      </c>
    </row>
    <row r="7" spans="1:15" x14ac:dyDescent="0.25">
      <c r="A7">
        <v>51</v>
      </c>
      <c r="B7">
        <v>132</v>
      </c>
      <c r="C7" s="3">
        <f t="shared" ref="C7:D32" si="5">H6</f>
        <v>29.992318613563189</v>
      </c>
      <c r="D7" s="3">
        <f t="shared" si="5"/>
        <v>2.0035402920398968</v>
      </c>
      <c r="E7" s="3">
        <f t="shared" ref="E7:E32" si="6">C7+D7*A7</f>
        <v>132.17287350759793</v>
      </c>
      <c r="F7" s="6">
        <f t="shared" si="0"/>
        <v>0.3457470151958546</v>
      </c>
      <c r="G7" s="6">
        <f t="shared" si="1"/>
        <v>17.633097774988585</v>
      </c>
      <c r="H7" s="3">
        <f t="shared" si="3"/>
        <v>29.991845918855169</v>
      </c>
      <c r="I7" s="3">
        <f t="shared" si="3"/>
        <v>2.0023911752672543</v>
      </c>
      <c r="J7">
        <f t="shared" si="4"/>
        <v>3.0928041630159837E-2</v>
      </c>
      <c r="K7">
        <f t="shared" si="4"/>
        <v>5.9858628401191805</v>
      </c>
      <c r="L7">
        <f t="shared" si="2"/>
        <v>6.532259533638303E-2</v>
      </c>
      <c r="M7">
        <f t="shared" si="2"/>
        <v>414.04282621637793</v>
      </c>
    </row>
    <row r="8" spans="1:15" x14ac:dyDescent="0.25">
      <c r="A8">
        <v>28</v>
      </c>
      <c r="B8">
        <v>86</v>
      </c>
      <c r="C8" s="3">
        <f t="shared" si="5"/>
        <v>29.991845918855169</v>
      </c>
      <c r="D8" s="3">
        <f t="shared" si="5"/>
        <v>2.0023911752672543</v>
      </c>
      <c r="E8" s="3">
        <f t="shared" si="6"/>
        <v>86.05879882633829</v>
      </c>
      <c r="F8" s="6">
        <f t="shared" si="0"/>
        <v>0.1175976526765794</v>
      </c>
      <c r="G8" s="6">
        <f t="shared" si="1"/>
        <v>3.2927342749442232</v>
      </c>
      <c r="H8" s="3">
        <f t="shared" si="3"/>
        <v>29.991228470377429</v>
      </c>
      <c r="I8" s="3">
        <f t="shared" si="3"/>
        <v>2.0012660249753647</v>
      </c>
      <c r="J8">
        <f t="shared" si="4"/>
        <v>3.9595002734801793E-2</v>
      </c>
      <c r="K8">
        <f t="shared" si="4"/>
        <v>5.7165499836016842</v>
      </c>
      <c r="L8">
        <f t="shared" si="2"/>
        <v>6.2747925965315948E-2</v>
      </c>
      <c r="M8">
        <f t="shared" si="2"/>
        <v>393.88278985582866</v>
      </c>
    </row>
    <row r="9" spans="1:15" x14ac:dyDescent="0.25">
      <c r="A9">
        <v>29</v>
      </c>
      <c r="B9">
        <v>88</v>
      </c>
      <c r="C9" s="3">
        <f t="shared" si="5"/>
        <v>29.991228470377429</v>
      </c>
      <c r="D9" s="3">
        <f t="shared" si="5"/>
        <v>2.0012660249753647</v>
      </c>
      <c r="E9" s="3">
        <f t="shared" si="6"/>
        <v>88.02794319466301</v>
      </c>
      <c r="F9" s="6">
        <f t="shared" si="0"/>
        <v>5.5886389326019525E-2</v>
      </c>
      <c r="G9" s="6">
        <f t="shared" si="1"/>
        <v>1.6207052904545662</v>
      </c>
      <c r="H9" s="3">
        <f t="shared" si="3"/>
        <v>29.990569778911592</v>
      </c>
      <c r="I9" s="3">
        <f t="shared" si="3"/>
        <v>2.0001945431891333</v>
      </c>
      <c r="J9">
        <f t="shared" si="4"/>
        <v>4.1224141393923566E-2</v>
      </c>
      <c r="K9">
        <f t="shared" si="4"/>
        <v>5.3069655142869721</v>
      </c>
      <c r="L9">
        <f t="shared" si="2"/>
        <v>5.9766694092645116E-2</v>
      </c>
      <c r="M9">
        <f t="shared" si="2"/>
        <v>374.31998464496257</v>
      </c>
    </row>
    <row r="10" spans="1:15" x14ac:dyDescent="0.25">
      <c r="A10">
        <v>72</v>
      </c>
      <c r="B10">
        <v>174</v>
      </c>
      <c r="C10" s="3">
        <f t="shared" si="5"/>
        <v>29.990569778911592</v>
      </c>
      <c r="D10" s="3">
        <f t="shared" si="5"/>
        <v>2.0001945431891333</v>
      </c>
      <c r="E10" s="3">
        <f t="shared" si="6"/>
        <v>174.00457688852919</v>
      </c>
      <c r="F10" s="6">
        <f t="shared" si="0"/>
        <v>9.1537770583727252E-3</v>
      </c>
      <c r="G10" s="6">
        <f t="shared" si="1"/>
        <v>0.65907194820283621</v>
      </c>
      <c r="H10" s="3">
        <f t="shared" si="3"/>
        <v>29.989946572899314</v>
      </c>
      <c r="I10" s="3">
        <f t="shared" si="3"/>
        <v>1.9991915359955668</v>
      </c>
      <c r="J10">
        <f t="shared" si="4"/>
        <v>3.8017104960368482E-2</v>
      </c>
      <c r="K10">
        <f t="shared" si="4"/>
        <v>4.8421761576785585</v>
      </c>
      <c r="L10">
        <f t="shared" si="2"/>
        <v>5.6782548969734579E-2</v>
      </c>
      <c r="M10">
        <f t="shared" si="2"/>
        <v>355.62570420435986</v>
      </c>
    </row>
    <row r="11" spans="1:15" x14ac:dyDescent="0.25">
      <c r="A11">
        <v>62</v>
      </c>
      <c r="B11">
        <v>154</v>
      </c>
      <c r="C11" s="3">
        <f t="shared" si="5"/>
        <v>29.989946572899314</v>
      </c>
      <c r="D11" s="3">
        <f t="shared" si="5"/>
        <v>1.9991915359955668</v>
      </c>
      <c r="E11" s="3">
        <f t="shared" si="6"/>
        <v>153.93982180462444</v>
      </c>
      <c r="F11" s="6">
        <f t="shared" si="0"/>
        <v>-0.12035639075111249</v>
      </c>
      <c r="G11" s="6">
        <f t="shared" si="1"/>
        <v>-7.4620962265689741</v>
      </c>
      <c r="H11" s="3">
        <f t="shared" si="3"/>
        <v>29.989576019017193</v>
      </c>
      <c r="I11" s="3">
        <f t="shared" si="3"/>
        <v>1.9984271071706123</v>
      </c>
      <c r="J11">
        <f t="shared" si="4"/>
        <v>2.2179755389220387E-2</v>
      </c>
      <c r="K11">
        <f t="shared" si="4"/>
        <v>3.6117489192538059</v>
      </c>
      <c r="L11">
        <f t="shared" si="2"/>
        <v>5.4667704560979573E-2</v>
      </c>
      <c r="M11">
        <f t="shared" si="2"/>
        <v>340.62856299887062</v>
      </c>
    </row>
    <row r="12" spans="1:15" x14ac:dyDescent="0.25">
      <c r="A12">
        <v>84</v>
      </c>
      <c r="B12">
        <v>198</v>
      </c>
      <c r="C12" s="3">
        <f t="shared" si="5"/>
        <v>29.989576019017193</v>
      </c>
      <c r="D12" s="3">
        <f t="shared" si="5"/>
        <v>1.9984271071706123</v>
      </c>
      <c r="E12" s="3">
        <f t="shared" si="6"/>
        <v>197.85745302134862</v>
      </c>
      <c r="F12" s="6">
        <f t="shared" si="0"/>
        <v>-0.2850939573027631</v>
      </c>
      <c r="G12" s="6">
        <f t="shared" si="1"/>
        <v>-23.947892413432101</v>
      </c>
      <c r="H12" s="3">
        <f t="shared" si="3"/>
        <v>29.989717116028224</v>
      </c>
      <c r="I12" s="3">
        <f t="shared" si="3"/>
        <v>1.9982489983603595</v>
      </c>
      <c r="J12">
        <f t="shared" si="4"/>
        <v>-8.5476158799779565E-3</v>
      </c>
      <c r="K12">
        <f t="shared" si="4"/>
        <v>0.8557847859852159</v>
      </c>
      <c r="L12">
        <f t="shared" si="2"/>
        <v>5.5998247557458081E-2</v>
      </c>
      <c r="M12">
        <f t="shared" si="2"/>
        <v>352.27221240119303</v>
      </c>
    </row>
    <row r="13" spans="1:15" x14ac:dyDescent="0.25">
      <c r="A13">
        <v>15</v>
      </c>
      <c r="B13">
        <v>60</v>
      </c>
      <c r="C13" s="3">
        <f t="shared" si="5"/>
        <v>29.989717116028224</v>
      </c>
      <c r="D13" s="3">
        <f t="shared" si="5"/>
        <v>1.9982489983603595</v>
      </c>
      <c r="E13" s="3">
        <f t="shared" si="6"/>
        <v>59.963452091433616</v>
      </c>
      <c r="F13" s="6">
        <f t="shared" si="0"/>
        <v>-7.3095817132767138E-2</v>
      </c>
      <c r="G13" s="6">
        <f t="shared" si="1"/>
        <v>-1.0964372569915071</v>
      </c>
      <c r="H13" s="3">
        <f t="shared" si="3"/>
        <v>29.989970561806697</v>
      </c>
      <c r="I13" s="3">
        <f t="shared" si="3"/>
        <v>1.9981079610527384</v>
      </c>
      <c r="J13">
        <f t="shared" si="4"/>
        <v>-1.5002436005256872E-2</v>
      </c>
      <c r="K13">
        <f t="shared" si="4"/>
        <v>0.66056258168754367</v>
      </c>
      <c r="L13">
        <f t="shared" si="2"/>
        <v>5.346548510370052E-2</v>
      </c>
      <c r="M13">
        <f t="shared" si="2"/>
        <v>334.7187105140593</v>
      </c>
    </row>
    <row r="14" spans="1:15" x14ac:dyDescent="0.25">
      <c r="A14">
        <v>42</v>
      </c>
      <c r="B14">
        <v>114</v>
      </c>
      <c r="C14" s="3">
        <f t="shared" si="5"/>
        <v>29.989970561806697</v>
      </c>
      <c r="D14" s="3">
        <f t="shared" si="5"/>
        <v>1.9981079610527384</v>
      </c>
      <c r="E14" s="3">
        <f t="shared" si="6"/>
        <v>113.91050492602172</v>
      </c>
      <c r="F14" s="6">
        <f t="shared" si="0"/>
        <v>-0.17899014795656853</v>
      </c>
      <c r="G14" s="6">
        <f t="shared" si="1"/>
        <v>-7.5175862141758785</v>
      </c>
      <c r="H14" s="3">
        <f t="shared" si="3"/>
        <v>29.990506438971764</v>
      </c>
      <c r="I14" s="3">
        <f t="shared" si="3"/>
        <v>1.9981422563139677</v>
      </c>
      <c r="J14">
        <f t="shared" si="4"/>
        <v>-3.140120720038804E-2</v>
      </c>
      <c r="K14">
        <f t="shared" si="4"/>
        <v>-0.15725229789879835</v>
      </c>
      <c r="L14">
        <f t="shared" si="2"/>
        <v>5.2394084501791206E-2</v>
      </c>
      <c r="M14">
        <f t="shared" si="2"/>
        <v>320.80848011273469</v>
      </c>
    </row>
    <row r="15" spans="1:15" x14ac:dyDescent="0.25">
      <c r="A15">
        <v>62</v>
      </c>
      <c r="B15">
        <v>154</v>
      </c>
      <c r="C15" s="3">
        <f t="shared" si="5"/>
        <v>29.990506438971764</v>
      </c>
      <c r="D15" s="3">
        <f>I14</f>
        <v>1.9981422563139677</v>
      </c>
      <c r="E15" s="3">
        <f t="shared" si="6"/>
        <v>153.87532633043776</v>
      </c>
      <c r="F15" s="6">
        <f t="shared" si="0"/>
        <v>-0.24934733912448337</v>
      </c>
      <c r="G15" s="6">
        <f t="shared" si="1"/>
        <v>-15.459535025717969</v>
      </c>
      <c r="H15" s="3">
        <f t="shared" si="3"/>
        <v>29.991410045072325</v>
      </c>
      <c r="I15" s="3">
        <f t="shared" si="3"/>
        <v>1.9985126490828387</v>
      </c>
      <c r="J15">
        <f t="shared" si="4"/>
        <v>-5.319582039279757E-2</v>
      </c>
      <c r="K15">
        <f t="shared" si="4"/>
        <v>-1.687480570680715</v>
      </c>
      <c r="L15">
        <f t="shared" si="2"/>
        <v>5.2883085053124647E-2</v>
      </c>
      <c r="M15">
        <f t="shared" si="2"/>
        <v>316.71791726766799</v>
      </c>
    </row>
    <row r="16" spans="1:15" x14ac:dyDescent="0.25">
      <c r="A16">
        <v>47</v>
      </c>
      <c r="B16">
        <v>124</v>
      </c>
      <c r="C16" s="3">
        <f t="shared" si="5"/>
        <v>29.991410045072325</v>
      </c>
      <c r="D16" s="3">
        <f t="shared" si="5"/>
        <v>1.9985126490828387</v>
      </c>
      <c r="E16" s="3">
        <f t="shared" si="6"/>
        <v>123.92150455196574</v>
      </c>
      <c r="F16" s="6">
        <f t="shared" si="0"/>
        <v>-0.15699089606852112</v>
      </c>
      <c r="G16" s="6">
        <f t="shared" si="1"/>
        <v>-7.3785721152204928</v>
      </c>
      <c r="H16" s="3">
        <f t="shared" si="3"/>
        <v>29.992504672528892</v>
      </c>
      <c r="I16" s="3">
        <f t="shared" si="3"/>
        <v>1.9990185421900744</v>
      </c>
      <c r="J16">
        <f t="shared" si="4"/>
        <v>-6.3575327960369923E-2</v>
      </c>
      <c r="K16">
        <f t="shared" si="4"/>
        <v>-2.2565897251346927</v>
      </c>
      <c r="L16">
        <f t="shared" si="2"/>
        <v>5.1471237872888279E-2</v>
      </c>
      <c r="M16">
        <f t="shared" si="2"/>
        <v>303.60418772726001</v>
      </c>
    </row>
    <row r="17" spans="1:13" x14ac:dyDescent="0.25">
      <c r="A17">
        <v>35</v>
      </c>
      <c r="B17">
        <v>100</v>
      </c>
      <c r="C17" s="3">
        <f t="shared" si="5"/>
        <v>29.992504672528892</v>
      </c>
      <c r="D17" s="3">
        <f t="shared" si="5"/>
        <v>1.9990185421900744</v>
      </c>
      <c r="E17" s="3">
        <f t="shared" si="6"/>
        <v>99.958153649181497</v>
      </c>
      <c r="F17" s="6">
        <f t="shared" si="0"/>
        <v>-8.3692701637005484E-2</v>
      </c>
      <c r="G17" s="6">
        <f t="shared" si="1"/>
        <v>-2.929244557295192</v>
      </c>
      <c r="H17" s="3">
        <f t="shared" si="3"/>
        <v>29.993659147117956</v>
      </c>
      <c r="I17" s="3">
        <f t="shared" si="3"/>
        <v>1.9995526521259299</v>
      </c>
      <c r="J17">
        <f t="shared" si="4"/>
        <v>-6.5587065328033475E-2</v>
      </c>
      <c r="K17">
        <f t="shared" si="4"/>
        <v>-2.3238552083507429</v>
      </c>
      <c r="L17">
        <f t="shared" si="2"/>
        <v>4.9247899394608906E-2</v>
      </c>
      <c r="M17">
        <f t="shared" si="2"/>
        <v>288.85300202471916</v>
      </c>
    </row>
    <row r="18" spans="1:13" x14ac:dyDescent="0.25">
      <c r="A18">
        <v>9</v>
      </c>
      <c r="B18">
        <v>48</v>
      </c>
      <c r="C18" s="3">
        <f t="shared" si="5"/>
        <v>29.993659147117956</v>
      </c>
      <c r="D18" s="3">
        <f t="shared" si="5"/>
        <v>1.9995526521259299</v>
      </c>
      <c r="E18" s="3">
        <f t="shared" si="6"/>
        <v>47.989633016251325</v>
      </c>
      <c r="F18" s="6">
        <f t="shared" si="0"/>
        <v>-2.0733967497349681E-2</v>
      </c>
      <c r="G18" s="6">
        <f t="shared" si="1"/>
        <v>-0.18660570747614713</v>
      </c>
      <c r="H18" s="3">
        <f t="shared" si="3"/>
        <v>29.994762357456022</v>
      </c>
      <c r="I18" s="3">
        <f t="shared" si="3"/>
        <v>2.0000502375806035</v>
      </c>
      <c r="J18">
        <f t="shared" si="4"/>
        <v>-6.1101755544965095E-2</v>
      </c>
      <c r="K18">
        <f t="shared" si="4"/>
        <v>-2.1101302582632835</v>
      </c>
      <c r="L18">
        <f t="shared" si="2"/>
        <v>4.6806999295287512E-2</v>
      </c>
      <c r="M18">
        <f t="shared" si="2"/>
        <v>274.4120930079863</v>
      </c>
    </row>
    <row r="19" spans="1:13" x14ac:dyDescent="0.25">
      <c r="A19">
        <v>38</v>
      </c>
      <c r="B19">
        <v>106</v>
      </c>
      <c r="C19" s="3">
        <f t="shared" si="5"/>
        <v>29.994762357456022</v>
      </c>
      <c r="D19" s="3">
        <f t="shared" si="5"/>
        <v>2.0000502375806035</v>
      </c>
      <c r="E19" s="3">
        <f t="shared" si="6"/>
        <v>105.99667138551897</v>
      </c>
      <c r="F19" s="6">
        <f t="shared" si="0"/>
        <v>-6.6572289620694391E-3</v>
      </c>
      <c r="G19" s="6">
        <f t="shared" si="1"/>
        <v>-0.25297470055863869</v>
      </c>
      <c r="H19" s="3">
        <f t="shared" si="3"/>
        <v>29.99579334677934</v>
      </c>
      <c r="I19" s="3">
        <f t="shared" si="3"/>
        <v>2.0005158157515477</v>
      </c>
      <c r="J19">
        <f t="shared" si="4"/>
        <v>-5.565730288667553E-2</v>
      </c>
      <c r="K19">
        <f t="shared" si="4"/>
        <v>-1.9244147024928191</v>
      </c>
      <c r="L19">
        <f t="shared" si="2"/>
        <v>4.4468865265395806E-2</v>
      </c>
      <c r="M19">
        <f t="shared" si="2"/>
        <v>260.69468816754312</v>
      </c>
    </row>
    <row r="20" spans="1:13" x14ac:dyDescent="0.25">
      <c r="A20">
        <v>44</v>
      </c>
      <c r="B20">
        <v>118</v>
      </c>
      <c r="C20" s="3">
        <f t="shared" si="5"/>
        <v>29.99579334677934</v>
      </c>
      <c r="D20" s="3">
        <f t="shared" si="5"/>
        <v>2.0005158157515477</v>
      </c>
      <c r="E20" s="3">
        <f t="shared" si="6"/>
        <v>118.01848923984744</v>
      </c>
      <c r="F20" s="6">
        <f t="shared" si="0"/>
        <v>3.6978479694880662E-2</v>
      </c>
      <c r="G20" s="6">
        <f t="shared" si="1"/>
        <v>1.6270531065747491</v>
      </c>
      <c r="H20" s="3">
        <f t="shared" si="3"/>
        <v>29.996674351630034</v>
      </c>
      <c r="I20" s="3">
        <f t="shared" si="3"/>
        <v>2.0009052312318709</v>
      </c>
      <c r="J20">
        <f t="shared" si="4"/>
        <v>-4.6393724628519914E-2</v>
      </c>
      <c r="K20">
        <f t="shared" si="4"/>
        <v>-1.5692679215860623</v>
      </c>
      <c r="L20">
        <f t="shared" ref="L20:M32" si="7">L19*$L$1+$M$1*F20^2</f>
        <v>4.2313792400153247E-2</v>
      </c>
      <c r="M20">
        <f t="shared" si="7"/>
        <v>247.79231884974666</v>
      </c>
    </row>
    <row r="21" spans="1:13" x14ac:dyDescent="0.25">
      <c r="A21">
        <v>99</v>
      </c>
      <c r="B21">
        <v>228</v>
      </c>
      <c r="C21" s="3">
        <f t="shared" si="5"/>
        <v>29.996674351630034</v>
      </c>
      <c r="D21" s="3">
        <f t="shared" si="5"/>
        <v>2.0009052312318709</v>
      </c>
      <c r="E21" s="3">
        <f t="shared" si="6"/>
        <v>228.08629224358526</v>
      </c>
      <c r="F21" s="6">
        <f t="shared" si="0"/>
        <v>0.17258448717052488</v>
      </c>
      <c r="G21" s="6">
        <f t="shared" si="1"/>
        <v>17.085864229881963</v>
      </c>
      <c r="H21" s="3">
        <f t="shared" si="3"/>
        <v>29.997143004447146</v>
      </c>
      <c r="I21" s="3">
        <f t="shared" si="3"/>
        <v>2.0008320428200688</v>
      </c>
      <c r="J21">
        <f t="shared" ref="J21:K32" si="8">J20*$J$1+$K$1*F21</f>
        <v>-2.4495903448615443E-2</v>
      </c>
      <c r="K21">
        <f t="shared" si="8"/>
        <v>0.29624529356073981</v>
      </c>
      <c r="L21">
        <f t="shared" si="7"/>
        <v>4.1687373040741237E-2</v>
      </c>
      <c r="M21">
        <f t="shared" si="7"/>
        <v>249.99904073135733</v>
      </c>
    </row>
    <row r="22" spans="1:13" x14ac:dyDescent="0.25">
      <c r="A22">
        <v>13</v>
      </c>
      <c r="B22">
        <v>56</v>
      </c>
      <c r="C22" s="3">
        <f t="shared" si="5"/>
        <v>29.997143004447146</v>
      </c>
      <c r="D22" s="3">
        <f t="shared" si="5"/>
        <v>2.0008320428200688</v>
      </c>
      <c r="E22" s="3">
        <f t="shared" si="6"/>
        <v>56.007959561108038</v>
      </c>
      <c r="F22" s="6">
        <f t="shared" si="0"/>
        <v>1.5919122216075721E-2</v>
      </c>
      <c r="G22" s="6">
        <f t="shared" si="1"/>
        <v>0.20694858880898437</v>
      </c>
      <c r="H22" s="3">
        <f t="shared" si="3"/>
        <v>29.997544437627624</v>
      </c>
      <c r="I22" s="3">
        <f t="shared" si="3"/>
        <v>2.0007592168388335</v>
      </c>
      <c r="J22">
        <f t="shared" si="8"/>
        <v>-2.0454400882146326E-2</v>
      </c>
      <c r="K22">
        <f t="shared" si="8"/>
        <v>0.2873156230855643</v>
      </c>
      <c r="L22">
        <f t="shared" si="7"/>
        <v>3.9615675311310689E-2</v>
      </c>
      <c r="M22">
        <f t="shared" si="7"/>
        <v>237.50123008070995</v>
      </c>
    </row>
    <row r="23" spans="1:13" x14ac:dyDescent="0.25">
      <c r="A23">
        <v>21</v>
      </c>
      <c r="B23">
        <v>72</v>
      </c>
      <c r="C23" s="3">
        <f t="shared" si="5"/>
        <v>29.997544437627624</v>
      </c>
      <c r="D23" s="3">
        <f t="shared" si="5"/>
        <v>2.0007592168388335</v>
      </c>
      <c r="E23" s="3">
        <f t="shared" si="6"/>
        <v>72.013487991243124</v>
      </c>
      <c r="F23" s="6">
        <f t="shared" si="0"/>
        <v>2.6975982486248995E-2</v>
      </c>
      <c r="G23" s="6">
        <f t="shared" si="1"/>
        <v>0.56649563221122889</v>
      </c>
      <c r="H23" s="3">
        <f t="shared" si="3"/>
        <v>29.997860642614782</v>
      </c>
      <c r="I23" s="3">
        <f t="shared" si="3"/>
        <v>2.0006772416562133</v>
      </c>
      <c r="J23">
        <f t="shared" si="8"/>
        <v>-1.5711362545306796E-2</v>
      </c>
      <c r="K23">
        <f t="shared" si="8"/>
        <v>0.31523362399813071</v>
      </c>
      <c r="L23">
        <f t="shared" si="7"/>
        <v>3.7671276727300078E-2</v>
      </c>
      <c r="M23">
        <f t="shared" si="7"/>
        <v>225.64221444174015</v>
      </c>
    </row>
    <row r="24" spans="1:13" x14ac:dyDescent="0.25">
      <c r="A24">
        <v>28</v>
      </c>
      <c r="B24">
        <v>86</v>
      </c>
      <c r="C24" s="3">
        <f t="shared" si="5"/>
        <v>29.997860642614782</v>
      </c>
      <c r="D24" s="3">
        <f t="shared" si="5"/>
        <v>2.0006772416562133</v>
      </c>
      <c r="E24" s="3">
        <f t="shared" si="6"/>
        <v>86.016823408988756</v>
      </c>
      <c r="F24" s="6">
        <f t="shared" si="0"/>
        <v>3.3646817977512455E-2</v>
      </c>
      <c r="G24" s="6">
        <f t="shared" si="1"/>
        <v>0.94211090337034875</v>
      </c>
      <c r="H24" s="3">
        <f t="shared" si="3"/>
        <v>29.998082968022022</v>
      </c>
      <c r="I24" s="3">
        <f t="shared" si="3"/>
        <v>2.0005764221574505</v>
      </c>
      <c r="J24">
        <f t="shared" si="8"/>
        <v>-1.0775544493024872E-2</v>
      </c>
      <c r="K24">
        <f t="shared" si="8"/>
        <v>0.37792135193535248</v>
      </c>
      <c r="L24">
        <f t="shared" si="7"/>
        <v>3.5844318308935669E-2</v>
      </c>
      <c r="M24">
        <f t="shared" si="7"/>
        <v>214.4044823673656</v>
      </c>
    </row>
    <row r="25" spans="1:13" x14ac:dyDescent="0.25">
      <c r="A25">
        <v>20</v>
      </c>
      <c r="B25">
        <v>70</v>
      </c>
      <c r="C25" s="3">
        <f t="shared" si="5"/>
        <v>29.998082968022022</v>
      </c>
      <c r="D25" s="3">
        <f t="shared" si="5"/>
        <v>2.0005764221574505</v>
      </c>
      <c r="E25" s="3">
        <f t="shared" si="6"/>
        <v>70.009611411171036</v>
      </c>
      <c r="F25" s="6">
        <f t="shared" si="0"/>
        <v>1.9222822342072732E-2</v>
      </c>
      <c r="G25" s="6">
        <f t="shared" si="1"/>
        <v>0.38445644684145464</v>
      </c>
      <c r="H25" s="3">
        <f t="shared" si="3"/>
        <v>29.998247522693223</v>
      </c>
      <c r="I25" s="3">
        <f t="shared" si="3"/>
        <v>2.0004728065457664</v>
      </c>
      <c r="J25">
        <f t="shared" si="8"/>
        <v>-7.7757078095151127E-3</v>
      </c>
      <c r="K25">
        <f t="shared" si="8"/>
        <v>0.37857486142596269</v>
      </c>
      <c r="L25">
        <f t="shared" si="7"/>
        <v>3.4070578238428628E-2</v>
      </c>
      <c r="M25">
        <f t="shared" si="7"/>
        <v>203.6916485869732</v>
      </c>
    </row>
    <row r="26" spans="1:13" x14ac:dyDescent="0.25">
      <c r="A26">
        <v>8</v>
      </c>
      <c r="B26">
        <v>46</v>
      </c>
      <c r="C26" s="3">
        <f t="shared" si="5"/>
        <v>29.998247522693223</v>
      </c>
      <c r="D26" s="3">
        <f t="shared" si="5"/>
        <v>2.0004728065457664</v>
      </c>
      <c r="E26" s="3">
        <f t="shared" si="6"/>
        <v>46.002029975059358</v>
      </c>
      <c r="F26" s="6">
        <f t="shared" si="0"/>
        <v>4.0599501187159603E-3</v>
      </c>
      <c r="G26" s="6">
        <f t="shared" si="1"/>
        <v>3.2479600949727683E-2</v>
      </c>
      <c r="H26" s="3">
        <f t="shared" si="3"/>
        <v>29.998390652309073</v>
      </c>
      <c r="I26" s="3">
        <f t="shared" si="3"/>
        <v>2.0003762178641762</v>
      </c>
      <c r="J26">
        <f t="shared" si="8"/>
        <v>-6.5921420166920059E-3</v>
      </c>
      <c r="K26">
        <f t="shared" si="8"/>
        <v>0.34396533537833918</v>
      </c>
      <c r="L26">
        <f t="shared" si="7"/>
        <v>3.236787348625552E-2</v>
      </c>
      <c r="M26">
        <f t="shared" si="7"/>
        <v>193.50711890384844</v>
      </c>
    </row>
    <row r="27" spans="1:13" x14ac:dyDescent="0.25">
      <c r="A27">
        <v>64</v>
      </c>
      <c r="B27">
        <v>158</v>
      </c>
      <c r="C27" s="3">
        <f t="shared" si="5"/>
        <v>29.998390652309073</v>
      </c>
      <c r="D27" s="3">
        <f t="shared" si="5"/>
        <v>2.0003762178641762</v>
      </c>
      <c r="E27" s="3">
        <f t="shared" si="6"/>
        <v>158.02246859561635</v>
      </c>
      <c r="F27" s="6">
        <f t="shared" si="0"/>
        <v>4.4937191232691021E-2</v>
      </c>
      <c r="G27" s="6">
        <f t="shared" si="1"/>
        <v>2.8759802388922253</v>
      </c>
      <c r="H27" s="3">
        <f t="shared" si="3"/>
        <v>29.998422659906399</v>
      </c>
      <c r="I27" s="3">
        <f t="shared" si="3"/>
        <v>2.0002043647254926</v>
      </c>
      <c r="J27">
        <f t="shared" si="8"/>
        <v>-1.4392086917537046E-3</v>
      </c>
      <c r="K27">
        <f t="shared" si="8"/>
        <v>0.59716682572972779</v>
      </c>
      <c r="L27">
        <f t="shared" si="7"/>
        <v>3.0850447369736914E-2</v>
      </c>
      <c r="M27">
        <f t="shared" si="7"/>
        <v>184.24532607538094</v>
      </c>
    </row>
    <row r="28" spans="1:13" x14ac:dyDescent="0.25">
      <c r="A28">
        <v>99</v>
      </c>
      <c r="B28">
        <v>228</v>
      </c>
      <c r="C28" s="3">
        <f t="shared" si="5"/>
        <v>29.998422659906399</v>
      </c>
      <c r="D28" s="3">
        <f t="shared" si="5"/>
        <v>2.0002043647254926</v>
      </c>
      <c r="E28" s="3">
        <f t="shared" si="6"/>
        <v>228.01865476773017</v>
      </c>
      <c r="F28" s="6">
        <f t="shared" si="0"/>
        <v>3.7309535460337884E-2</v>
      </c>
      <c r="G28" s="6">
        <f t="shared" si="1"/>
        <v>3.6936440105734505</v>
      </c>
      <c r="H28" s="3">
        <f t="shared" si="3"/>
        <v>29.998367150048402</v>
      </c>
      <c r="I28" s="3">
        <f t="shared" si="3"/>
        <v>1.9999371417264775</v>
      </c>
      <c r="J28">
        <f t="shared" si="8"/>
        <v>2.4356657234554536E-3</v>
      </c>
      <c r="K28">
        <f t="shared" si="8"/>
        <v>0.90681454421410002</v>
      </c>
      <c r="L28">
        <f t="shared" si="7"/>
        <v>2.937752507306338E-2</v>
      </c>
      <c r="M28">
        <f t="shared" si="7"/>
        <v>175.71521007545417</v>
      </c>
    </row>
    <row r="29" spans="1:13" x14ac:dyDescent="0.25">
      <c r="A29">
        <v>70</v>
      </c>
      <c r="B29">
        <v>170</v>
      </c>
      <c r="C29" s="3">
        <f t="shared" si="5"/>
        <v>29.998367150048402</v>
      </c>
      <c r="D29" s="3">
        <f t="shared" si="5"/>
        <v>1.9999371417264775</v>
      </c>
      <c r="E29" s="3">
        <f t="shared" si="6"/>
        <v>169.99396707090185</v>
      </c>
      <c r="F29" s="6">
        <f t="shared" si="0"/>
        <v>-1.2065858196308454E-2</v>
      </c>
      <c r="G29" s="6">
        <f t="shared" si="1"/>
        <v>-0.8446100737415918</v>
      </c>
      <c r="H29" s="3">
        <f t="shared" si="3"/>
        <v>29.998344109304171</v>
      </c>
      <c r="I29" s="3">
        <f t="shared" si="3"/>
        <v>1.9997159526654782</v>
      </c>
      <c r="J29">
        <f t="shared" si="8"/>
        <v>9.8551333147906309E-4</v>
      </c>
      <c r="K29">
        <f t="shared" si="8"/>
        <v>0.73167208241853088</v>
      </c>
      <c r="L29">
        <f t="shared" si="7"/>
        <v>2.7915928066110884E-2</v>
      </c>
      <c r="M29">
        <f t="shared" si="7"/>
        <v>166.96511788051475</v>
      </c>
    </row>
    <row r="30" spans="1:13" x14ac:dyDescent="0.25">
      <c r="A30">
        <v>27</v>
      </c>
      <c r="B30">
        <v>84</v>
      </c>
      <c r="C30" s="3">
        <f t="shared" si="5"/>
        <v>29.998344109304171</v>
      </c>
      <c r="D30" s="3">
        <f t="shared" si="5"/>
        <v>1.9997159526654782</v>
      </c>
      <c r="E30" s="3">
        <f t="shared" si="6"/>
        <v>83.990674831272088</v>
      </c>
      <c r="F30" s="6">
        <f t="shared" si="0"/>
        <v>-1.8650337455824229E-2</v>
      </c>
      <c r="G30" s="6">
        <f t="shared" si="1"/>
        <v>-0.50355911130725417</v>
      </c>
      <c r="H30" s="3">
        <f t="shared" si="3"/>
        <v>29.99836756242027</v>
      </c>
      <c r="I30" s="3">
        <f t="shared" si="3"/>
        <v>1.9995273369080135</v>
      </c>
      <c r="J30">
        <f t="shared" si="8"/>
        <v>-9.780717472512657E-4</v>
      </c>
      <c r="K30">
        <f t="shared" si="8"/>
        <v>0.60814896304595245</v>
      </c>
      <c r="L30">
        <f t="shared" si="7"/>
        <v>2.6537523417166142E-2</v>
      </c>
      <c r="M30">
        <f t="shared" si="7"/>
        <v>158.62954057541802</v>
      </c>
    </row>
    <row r="31" spans="1:13" x14ac:dyDescent="0.25">
      <c r="A31">
        <v>17</v>
      </c>
      <c r="B31">
        <v>64</v>
      </c>
      <c r="C31" s="3">
        <f t="shared" si="5"/>
        <v>29.99836756242027</v>
      </c>
      <c r="D31" s="3">
        <f t="shared" si="5"/>
        <v>1.9995273369080135</v>
      </c>
      <c r="E31" s="3">
        <f t="shared" si="6"/>
        <v>63.990332289856504</v>
      </c>
      <c r="F31" s="6">
        <f t="shared" si="0"/>
        <v>-1.9335420286992644E-2</v>
      </c>
      <c r="G31" s="6">
        <f t="shared" si="1"/>
        <v>-0.32870214487887495</v>
      </c>
      <c r="H31" s="3">
        <f t="shared" si="3"/>
        <v>29.99843676166153</v>
      </c>
      <c r="I31" s="3">
        <f t="shared" si="3"/>
        <v>1.9993636351738933</v>
      </c>
      <c r="J31">
        <f t="shared" si="8"/>
        <v>-2.8138066012254031E-3</v>
      </c>
      <c r="K31">
        <f t="shared" si="8"/>
        <v>0.51446385225346969</v>
      </c>
      <c r="L31">
        <f t="shared" si="7"/>
        <v>2.5229340170191565E-2</v>
      </c>
      <c r="M31">
        <f t="shared" si="7"/>
        <v>150.70346580164951</v>
      </c>
    </row>
    <row r="32" spans="1:13" x14ac:dyDescent="0.25">
      <c r="A32">
        <v>8</v>
      </c>
      <c r="B32">
        <v>46</v>
      </c>
      <c r="C32" s="3">
        <f t="shared" si="5"/>
        <v>29.99843676166153</v>
      </c>
      <c r="D32" s="3">
        <f t="shared" si="5"/>
        <v>1.9993636351738933</v>
      </c>
      <c r="E32" s="3">
        <f t="shared" si="6"/>
        <v>45.99334584305268</v>
      </c>
      <c r="F32" s="6">
        <f t="shared" si="0"/>
        <v>-1.3308313894640378E-2</v>
      </c>
      <c r="G32" s="6">
        <f t="shared" si="1"/>
        <v>-0.10646651115712302</v>
      </c>
      <c r="H32" s="3">
        <f t="shared" si="3"/>
        <v>29.998534219933632</v>
      </c>
      <c r="I32" s="3">
        <f t="shared" si="3"/>
        <v>1.9992159522331712</v>
      </c>
      <c r="J32">
        <f t="shared" si="8"/>
        <v>-3.8632573305669004E-3</v>
      </c>
      <c r="K32">
        <f t="shared" si="8"/>
        <v>0.45237081591241046</v>
      </c>
      <c r="L32">
        <f t="shared" si="7"/>
        <v>2.3976728722617899E-2</v>
      </c>
      <c r="M32">
        <f t="shared" si="7"/>
        <v>143.16885926746696</v>
      </c>
    </row>
    <row r="33" spans="1:15" x14ac:dyDescent="0.25">
      <c r="A33" s="6"/>
      <c r="B33" s="6"/>
      <c r="F33" s="6">
        <f>SQRT(SUMSQ(F4:F32))/COUNT(F4:F32)</f>
        <v>3.8686302499625166E-2</v>
      </c>
      <c r="G33" s="6">
        <f>SQRT(SUMSQ(G4:G32))/COUNT(G4:G32)</f>
        <v>2.9941290342098443</v>
      </c>
      <c r="H33" s="3"/>
      <c r="J33">
        <v>-4.8441943141925917E-2</v>
      </c>
      <c r="K33">
        <v>-4.0642025509844446</v>
      </c>
      <c r="L33" s="6">
        <v>2.527589588662521E-2</v>
      </c>
      <c r="M33" s="6">
        <v>161.89615404770484</v>
      </c>
      <c r="N33" s="3">
        <f>SQRT(L33)+SQRT(M33)</f>
        <v>12.882825901628111</v>
      </c>
      <c r="O33" s="9"/>
    </row>
    <row r="34" spans="1:15" x14ac:dyDescent="0.25">
      <c r="K34">
        <f>1/K3</f>
        <v>-0.24605072888352394</v>
      </c>
      <c r="L34">
        <f>1/L3</f>
        <v>39.56338499278089</v>
      </c>
      <c r="N34">
        <f>avg_grad2/prev_grad2</f>
        <v>1.2475765612497367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Intro</vt:lpstr>
      <vt:lpstr>data</vt:lpstr>
      <vt:lpstr>basic SGD</vt:lpstr>
      <vt:lpstr>momentum</vt:lpstr>
      <vt:lpstr>adagrad</vt:lpstr>
      <vt:lpstr>rmsprop</vt:lpstr>
      <vt:lpstr>adam</vt:lpstr>
      <vt:lpstr>eve</vt:lpstr>
      <vt:lpstr>adagrad_ann</vt:lpstr>
      <vt:lpstr>adam_ann</vt:lpstr>
      <vt:lpstr>adam_ann!avg_grad2</vt:lpstr>
      <vt:lpstr>adagrad!const</vt:lpstr>
      <vt:lpstr>adagrad_ann!const</vt:lpstr>
      <vt:lpstr>adam!const</vt:lpstr>
      <vt:lpstr>adam_ann!const</vt:lpstr>
      <vt:lpstr>'basic SGD'!const</vt:lpstr>
      <vt:lpstr>eve!const</vt:lpstr>
      <vt:lpstr>momentum!const</vt:lpstr>
      <vt:lpstr>rmsprop!const</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eve!gradtarget</vt:lpstr>
      <vt:lpstr>rmsprop!gradtarget</vt:lpstr>
      <vt:lpstr>adagrad!histgrad</vt:lpstr>
      <vt:lpstr>adagrad_ann!histgrad</vt:lpstr>
      <vt:lpstr>adam!histgrad</vt:lpstr>
      <vt:lpstr>adam_ann!histgrad</vt:lpstr>
      <vt:lpstr>'basic SGD'!histgrad</vt:lpstr>
      <vt:lpstr>eve!histgrad</vt:lpstr>
      <vt:lpstr>momentum!histgrad</vt:lpstr>
      <vt:lpstr>rmsprop!histgrad</vt:lpstr>
      <vt:lpstr>adagrad!lastconst</vt:lpstr>
      <vt:lpstr>adagrad_ann!lastconst</vt:lpstr>
      <vt:lpstr>adam!lastconst</vt:lpstr>
      <vt:lpstr>adam_ann!lastconst</vt:lpstr>
      <vt:lpstr>'basic SGD'!lastconst</vt:lpstr>
      <vt:lpstr>eve!lastconst</vt:lpstr>
      <vt:lpstr>momentum!lastconst</vt:lpstr>
      <vt:lpstr>rmsprop!lastconst</vt:lpstr>
      <vt:lpstr>adagrad!lastslope</vt:lpstr>
      <vt:lpstr>adagrad_ann!lastslope</vt:lpstr>
      <vt:lpstr>adam!lastslope</vt:lpstr>
      <vt:lpstr>adam_ann!lastslope</vt:lpstr>
      <vt:lpstr>'basic SGD'!lastslope</vt:lpstr>
      <vt:lpstr>eve!lastslope</vt:lpstr>
      <vt:lpstr>momentum!lastslope</vt:lpstr>
      <vt:lpstr>rmsprop!lastslope</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adam!momtarget</vt:lpstr>
      <vt:lpstr>adam_ann!momtarget</vt:lpstr>
      <vt:lpstr>eve!momtarget</vt:lpstr>
      <vt:lpstr>momentum!momtarget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SGD'!rmses</vt:lpstr>
      <vt:lpstr>'basic SGD'!rmsestart</vt:lpstr>
      <vt:lpstr>eve!rtee</vt:lpstr>
      <vt:lpstr>adagrad!slope</vt:lpstr>
      <vt:lpstr>adagrad_ann!slope</vt:lpstr>
      <vt:lpstr>adam!slope</vt:lpstr>
      <vt:lpstr>adam_ann!slope</vt:lpstr>
      <vt:lpstr>'basic SGD'!slope</vt:lpstr>
      <vt:lpstr>eve!slope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Currit, Nathan Allen</cp:lastModifiedBy>
  <dcterms:created xsi:type="dcterms:W3CDTF">2014-03-27T15:29:57Z</dcterms:created>
  <dcterms:modified xsi:type="dcterms:W3CDTF">2026-02-25T14:21:36Z</dcterms:modified>
</cp:coreProperties>
</file>